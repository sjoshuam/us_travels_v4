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80F08D1E-2045-D44D-81FA-C510F562E10A}" xr6:coauthVersionLast="47" xr6:coauthVersionMax="47" xr10:uidLastSave="{00000000-0000-0000-0000-000000000000}"/>
  <bookViews>
    <workbookView xWindow="58020" yWindow="600" windowWidth="14940" windowHeight="18540" firstSheet="4" activeTab="6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trip_roster" sheetId="15" r:id="rId6"/>
    <sheet name="trip_route" sheetId="12" r:id="rId7"/>
    <sheet name="trip_visit" sheetId="17" r:id="rId8"/>
    <sheet name="weather_noon" sheetId="9" r:id="rId9"/>
    <sheet name="weather_dusk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2" l="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E30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E55" i="6"/>
  <c r="D10" i="15"/>
  <c r="C10" i="15"/>
  <c r="D8" i="15"/>
  <c r="C8" i="15"/>
  <c r="D6" i="15"/>
  <c r="C7" i="15"/>
  <c r="D9" i="15"/>
  <c r="C6" i="15"/>
  <c r="C9" i="15"/>
  <c r="D5" i="15"/>
  <c r="D7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<sst xmlns="http://schemas.openxmlformats.org/spreadsheetml/2006/main" count="3543" uniqueCount="1193">
  <si>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</si>
  <si>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</si>
  <si>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</si>
  <si>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</si>
  <si>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</si>
  <si>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</si>
  <si>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</si>
  <si>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</si>
  <si>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</si>
  <si>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</si>
  <si>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</si>
  <si>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</si>
  <si>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</si>
  <si>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</si>
  <si>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</si>
  <si>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</si>
  <si>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</si>
  <si>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</si>
  <si>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</si>
  <si>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</si>
  <si>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</si>
  <si>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</si>
  <si>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</si>
  <si>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</si>
  <si>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</si>
  <si>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</si>
  <si>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</si>
  <si>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</si>
  <si>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</si>
  <si>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</si>
  <si>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</si>
  <si>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</si>
  <si>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</si>
  <si>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</si>
  <si>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</si>
  <si>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</si>
  <si>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</si>
  <si>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</si>
  <si>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</si>
  <si>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</si>
  <si>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</si>
  <si>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</si>
  <si>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</si>
  <si>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</si>
  <si>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</si>
  <si>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</si>
  <si>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</si>
  <si>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</si>
  <si>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</si>
  <si>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</si>
  <si>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</si>
  <si>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</si>
  <si>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</si>
  <si>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</si>
  <si>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</si>
  <si>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</si>
  <si>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</si>
  <si>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</si>
  <si>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</si>
  <si>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</si>
  <si>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</si>
  <si>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</si>
  <si>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</si>
  <si>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</si>
  <si>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</si>
  <si>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</si>
  <si>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</si>
  <si>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</si>
  <si>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</si>
  <si>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</si>
  <si>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</si>
  <si>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</si>
  <si>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</si>
  <si>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</si>
  <si>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</si>
  <si>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</si>
  <si>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</si>
  <si>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</si>
  <si>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</si>
  <si>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</si>
  <si>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</si>
  <si>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</si>
  <si>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</si>
  <si>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</si>
  <si>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</si>
  <si>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</si>
  <si>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</si>
  <si>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</si>
  <si>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</si>
  <si>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</si>
  <si>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</si>
  <si>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</si>
  <si>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</si>
  <si>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</si>
  <si>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</si>
  <si>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</si>
  <si>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</si>
  <si>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</si>
  <si>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</si>
  <si>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</si>
  <si>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</si>
  <si>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</si>
  <si>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</si>
  <si>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</si>
  <si>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</si>
  <si>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</si>
  <si>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</si>
  <si>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</si>
  <si>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</si>
  <si>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</si>
  <si>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</si>
  <si>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</si>
  <si>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</si>
  <si>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</si>
  <si>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</si>
  <si>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</si>
  <si>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</si>
  <si>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</si>
  <si>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</si>
  <si>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</si>
  <si>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</si>
  <si>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</si>
  <si>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</si>
  <si>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</si>
  <si>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</si>
  <si>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</si>
  <si>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</si>
  <si>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</si>
  <si>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</si>
  <si>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</si>
  <si>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</si>
  <si>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</si>
  <si>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</si>
  <si>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</si>
  <si>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</si>
  <si>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</si>
  <si>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</si>
  <si>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</si>
  <si>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</si>
  <si>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</si>
  <si>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</si>
  <si>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</si>
  <si>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</si>
  <si>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</si>
  <si>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</si>
  <si>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</si>
  <si>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</si>
  <si>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</si>
  <si>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</si>
  <si>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</si>
  <si>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</si>
  <si>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</si>
  <si>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</si>
  <si>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</si>
  <si>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</si>
  <si>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</si>
  <si>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</si>
  <si>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</si>
  <si>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</si>
  <si>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</si>
  <si>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</si>
  <si>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</si>
  <si>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</si>
  <si>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</si>
  <si>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</si>
  <si>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</si>
  <si>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</si>
  <si>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</si>
  <si>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</si>
  <si>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</si>
  <si>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</si>
  <si>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</si>
  <si>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</si>
  <si>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</si>
  <si>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</si>
  <si>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</si>
  <si>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</si>
  <si>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</si>
  <si>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</si>
  <si>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</si>
  <si>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</si>
  <si>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</si>
  <si>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</si>
  <si>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</si>
  <si>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</si>
  <si>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</si>
  <si>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</si>
  <si>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</si>
  <si>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</si>
  <si>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</si>
  <si>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</si>
  <si>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</si>
  <si>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</si>
  <si>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</si>
  <si>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</si>
  <si>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</si>
  <si>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</si>
  <si>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</si>
  <si>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</si>
  <si>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</si>
  <si>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</si>
  <si>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</si>
  <si>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</si>
  <si>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</si>
  <si>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</si>
  <si>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</si>
  <si>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</si>
  <si>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</si>
  <si>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</si>
  <si>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</si>
  <si>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</si>
  <si>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</si>
  <si>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</si>
  <si>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</si>
  <si>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</si>
  <si>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</si>
  <si>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</si>
  <si>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</si>
  <si>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</si>
  <si>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</si>
  <si>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</si>
  <si>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</si>
  <si>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</si>
  <si>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</si>
  <si>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</si>
  <si>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</si>
  <si>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</si>
  <si>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</si>
  <si>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</si>
  <si>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</si>
  <si>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</si>
  <si>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</si>
  <si>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</si>
  <si>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</si>
  <si>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</si>
  <si>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</si>
  <si>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</si>
  <si>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</si>
  <si>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</si>
  <si>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</si>
  <si>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</si>
  <si>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</si>
  <si>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</si>
  <si>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</si>
  <si>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</si>
  <si>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</si>
  <si>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</si>
  <si>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</si>
  <si>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</si>
  <si>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</si>
  <si>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</si>
  <si>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</si>
  <si>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</si>
  <si>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</si>
  <si>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</si>
  <si>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</si>
  <si>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</si>
  <si>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</si>
  <si>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</si>
  <si>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</si>
  <si>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</si>
  <si>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</si>
  <si>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</si>
  <si>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</si>
  <si>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</si>
  <si>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</si>
  <si>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</si>
  <si>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</si>
  <si>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</si>
  <si>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</si>
  <si>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</si>
  <si>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</si>
  <si>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</si>
  <si>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</si>
  <si>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</si>
  <si>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</si>
  <si>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</si>
  <si>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</si>
  <si>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</si>
  <si>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</si>
  <si>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</si>
  <si>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</si>
  <si>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</si>
  <si>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</si>
  <si>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</si>
  <si>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</si>
  <si>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</si>
  <si>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</si>
  <si>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</si>
  <si>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</si>
  <si>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</si>
  <si>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</si>
  <si>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</si>
  <si>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</si>
  <si>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</si>
  <si>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</si>
  <si>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</si>
  <si>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</si>
  <si>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</si>
  <si>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</si>
  <si>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</si>
  <si>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</si>
  <si>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</si>
  <si>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</si>
  <si>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</si>
  <si>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</si>
  <si>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</si>
  <si>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</si>
  <si>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</si>
  <si>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</si>
  <si>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</si>
  <si>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</si>
  <si>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</si>
  <si>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</si>
  <si>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</si>
  <si>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</si>
  <si>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</si>
  <si>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</si>
  <si>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</si>
  <si>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</si>
  <si>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</si>
  <si>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</si>
  <si>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</si>
  <si>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</si>
  <si>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</si>
  <si>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</si>
  <si>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</si>
  <si>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</si>
  <si>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</si>
  <si>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</si>
  <si>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</si>
  <si>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</si>
  <si>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</si>
  <si>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</si>
  <si>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</si>
  <si>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</si>
  <si>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</si>
  <si>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</si>
  <si>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</si>
  <si>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</si>
  <si>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</si>
  <si>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</si>
  <si>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</si>
  <si>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</si>
  <si>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</si>
  <si>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</si>
  <si>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</si>
  <si>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</si>
  <si>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</si>
  <si>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</si>
  <si>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</si>
  <si>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</si>
  <si>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</si>
  <si>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</si>
  <si>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</si>
  <si>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</si>
  <si>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</si>
  <si>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</si>
  <si>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</si>
  <si>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</si>
  <si>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</si>
  <si>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</si>
  <si>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</si>
  <si>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</si>
  <si>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</si>
  <si>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</si>
  <si>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</si>
  <si>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</si>
  <si>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</si>
  <si>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</si>
  <si>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</si>
  <si>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</si>
  <si>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</si>
  <si>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</si>
  <si>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</si>
  <si>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</si>
  <si>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</si>
  <si>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</si>
  <si>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</si>
  <si>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</si>
  <si>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</si>
  <si>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</si>
  <si>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</si>
  <si>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</si>
  <si>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</si>
  <si>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</si>
  <si>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</si>
  <si>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</si>
  <si>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</si>
  <si>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</si>
  <si>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</si>
  <si>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</si>
  <si>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</si>
  <si>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</si>
  <si>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</si>
  <si>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</si>
  <si>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</si>
  <si>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</si>
  <si>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</si>
  <si>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</si>
  <si>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</si>
  <si>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</si>
  <si>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</si>
  <si>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</si>
  <si>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</si>
  <si>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</si>
  <si>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</si>
  <si>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</si>
  <si>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</si>
  <si>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</si>
  <si>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</si>
  <si>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</si>
  <si>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</si>
  <si>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</si>
  <si>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</si>
  <si>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</si>
  <si>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</si>
  <si>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</si>
  <si>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</si>
  <si>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</si>
  <si>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</si>
  <si>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</si>
  <si>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</si>
  <si>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</si>
  <si>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</si>
  <si>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</si>
  <si>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</si>
  <si>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</si>
  <si>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</si>
  <si>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</si>
  <si>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</si>
  <si>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</si>
  <si>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</si>
  <si>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</si>
  <si>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</si>
  <si>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</si>
  <si>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</si>
  <si>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</si>
  <si>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</si>
  <si>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</si>
  <si>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</si>
  <si>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</si>
  <si>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</si>
  <si>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</si>
  <si>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</si>
  <si>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</si>
  <si>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</si>
  <si>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</si>
  <si>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</si>
  <si>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</si>
  <si>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</si>
  <si>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</si>
  <si>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</si>
  <si>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</si>
  <si>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</si>
  <si>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</si>
  <si>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</si>
  <si>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</si>
  <si>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</si>
  <si>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</si>
  <si>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</si>
  <si>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</si>
  <si>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</si>
  <si>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</si>
  <si>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</si>
  <si>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</si>
  <si>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</si>
  <si>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</si>
  <si>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</si>
  <si>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</si>
  <si>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</si>
  <si>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</si>
  <si>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</si>
  <si>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</si>
  <si>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</si>
  <si>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</si>
  <si>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</si>
  <si>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</si>
  <si>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</si>
  <si>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</si>
  <si>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</si>
  <si>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</si>
  <si>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</si>
  <si>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</si>
  <si>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</si>
  <si>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</si>
  <si>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</si>
  <si>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</si>
  <si>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</si>
  <si>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</si>
  <si>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</si>
  <si>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</si>
  <si>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</si>
  <si>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</si>
  <si>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</si>
  <si>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</si>
  <si>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</si>
  <si>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</si>
  <si>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</si>
  <si>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</si>
  <si>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</si>
  <si>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</si>
  <si>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</si>
  <si>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</si>
  <si>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</si>
  <si>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</si>
  <si>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</si>
  <si>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</si>
  <si>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</si>
  <si>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</si>
  <si>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</si>
  <si>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</si>
  <si>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</si>
  <si>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</si>
  <si>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</si>
  <si>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</si>
  <si>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</si>
  <si>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</si>
  <si>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</si>
  <si>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</si>
  <si>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</si>
  <si>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</si>
  <si>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</si>
  <si>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</si>
  <si>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</si>
  <si>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</si>
  <si>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</si>
  <si>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</si>
  <si>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</si>
  <si>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</si>
  <si>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</si>
  <si>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</si>
  <si>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</si>
  <si>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</si>
  <si>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</si>
  <si>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</si>
  <si>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</si>
  <si>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</si>
  <si>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</si>
  <si>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</si>
  <si>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</si>
  <si>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</si>
  <si>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</si>
  <si>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</si>
  <si>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</si>
  <si>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</si>
  <si>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</si>
  <si>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</si>
  <si>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</si>
  <si>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</si>
  <si>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</si>
  <si>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</si>
  <si>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</si>
  <si>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</si>
  <si>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</si>
  <si>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</si>
  <si>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</si>
  <si>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</si>
  <si>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</si>
  <si>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</si>
  <si>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</si>
  <si>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</si>
  <si>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</si>
  <si>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</si>
  <si>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</si>
  <si>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</si>
  <si>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</si>
  <si>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</si>
  <si>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</si>
  <si>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</si>
  <si>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</si>
  <si>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</si>
  <si>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</si>
  <si>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</si>
  <si>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</si>
  <si>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</si>
  <si>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</si>
  <si>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</si>
  <si>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</si>
  <si>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</si>
  <si>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</si>
  <si>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</si>
  <si>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</si>
  <si>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</si>
  <si>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</si>
  <si>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</si>
  <si>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</si>
  <si>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</si>
  <si>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</si>
  <si>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</si>
  <si>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</si>
  <si>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</si>
  <si>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</si>
  <si>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</si>
  <si>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</si>
  <si>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</si>
  <si>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</si>
  <si>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</si>
  <si>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</si>
  <si>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</si>
  <si>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</si>
  <si>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</si>
  <si>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</si>
  <si>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</si>
  <si>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</si>
  <si>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</si>
  <si>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</si>
  <si>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</si>
  <si>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</si>
  <si>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</si>
  <si>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</si>
  <si>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</si>
  <si>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</si>
  <si>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</si>
  <si>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</si>
  <si>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</si>
  <si>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</si>
  <si>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</si>
  <si>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</si>
  <si>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</si>
  <si>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</si>
  <si>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</si>
  <si>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</si>
  <si>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</si>
  <si>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</si>
  <si>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</si>
  <si>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</si>
  <si>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</si>
  <si>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</si>
  <si>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</si>
  <si>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</si>
  <si>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</si>
  <si>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</si>
  <si>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</si>
  <si>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</si>
  <si>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</si>
  <si>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</si>
  <si>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</si>
  <si>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</si>
  <si>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</si>
  <si>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</si>
  <si>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</si>
  <si>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</si>
  <si>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</si>
  <si>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</si>
  <si>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</si>
  <si>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</si>
  <si>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</si>
  <si>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</si>
  <si>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</si>
  <si>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</si>
  <si>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</si>
  <si>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</si>
  <si>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</si>
  <si>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</si>
  <si>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</si>
  <si>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</si>
  <si>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</si>
  <si>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</si>
  <si>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</si>
  <si>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</si>
  <si>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</si>
  <si>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</si>
  <si>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</si>
  <si>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</si>
  <si>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</si>
  <si>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</si>
  <si>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</si>
  <si>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</si>
  <si>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</si>
  <si>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</si>
  <si>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</si>
  <si>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</si>
  <si>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</si>
  <si>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</si>
  <si>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</si>
  <si>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</si>
  <si>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</si>
  <si>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</si>
  <si>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</si>
  <si>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</si>
  <si>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</si>
  <si>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</si>
  <si>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</si>
  <si>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</si>
  <si>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</si>
  <si>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</si>
  <si>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</si>
  <si>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</si>
  <si>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</si>
  <si>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</si>
  <si>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</si>
  <si>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</si>
  <si>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</si>
  <si>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</si>
  <si>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</si>
  <si>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</si>
  <si>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</si>
  <si>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</si>
  <si>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</si>
  <si>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</si>
  <si>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</si>
  <si>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</si>
  <si>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</si>
  <si>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</si>
  <si>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</si>
  <si>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</si>
  <si>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</si>
  <si>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</si>
  <si>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</si>
  <si>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</si>
  <si>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</si>
  <si>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</si>
  <si>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</si>
  <si>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</si>
  <si>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</si>
  <si>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</si>
  <si>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</si>
  <si>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</si>
  <si>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</si>
  <si>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</si>
  <si>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</si>
  <si>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</si>
  <si>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</si>
  <si>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</si>
  <si>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</si>
  <si>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</si>
  <si>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</si>
  <si>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</si>
  <si>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</si>
  <si>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</si>
  <si>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</si>
  <si>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</si>
  <si>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</si>
  <si>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</si>
  <si>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</si>
  <si>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</si>
  <si>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</si>
  <si>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</si>
  <si>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</si>
  <si>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</si>
  <si>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</si>
  <si>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</si>
  <si>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</si>
  <si>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</si>
  <si>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</si>
  <si>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</si>
  <si>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</si>
  <si>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</si>
  <si>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</si>
  <si>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</si>
  <si>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</si>
  <si>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</si>
  <si>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</si>
  <si>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</si>
  <si>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</si>
  <si>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</si>
  <si>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</si>
  <si>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</si>
  <si>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</si>
  <si>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</si>
  <si>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</si>
  <si>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</si>
  <si>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</si>
  <si>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</si>
  <si>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</si>
  <si>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</si>
  <si>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</si>
  <si>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</si>
  <si>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</si>
  <si>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</si>
  <si>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</si>
  <si>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</si>
  <si>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</si>
  <si>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</si>
  <si>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</si>
  <si>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</si>
  <si>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</si>
  <si>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</si>
  <si>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</si>
  <si>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</si>
  <si>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</si>
  <si>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</si>
  <si>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</si>
  <si>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</si>
  <si>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</si>
  <si>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</si>
  <si>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</si>
  <si>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</si>
  <si>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</si>
  <si>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</si>
  <si>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</si>
  <si>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</si>
  <si>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</si>
  <si>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</si>
  <si>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</si>
  <si>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</si>
  <si>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</si>
  <si>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</si>
  <si>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</si>
  <si>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</si>
  <si>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</si>
  <si>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</si>
  <si>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</si>
  <si>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</si>
  <si>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</si>
  <si>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</si>
  <si>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</si>
  <si>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</si>
  <si>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</si>
  <si>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</si>
  <si>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</si>
  <si>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</si>
  <si>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</si>
  <si>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</si>
  <si>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</si>
  <si>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</si>
  <si>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</si>
  <si>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</si>
  <si>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</si>
  <si>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</si>
  <si>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</si>
  <si>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</si>
  <si>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</si>
  <si>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</si>
  <si>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</si>
  <si>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</si>
  <si>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</si>
  <si>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</si>
  <si>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</si>
  <si>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</si>
  <si>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</si>
  <si>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</si>
  <si>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</si>
  <si>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</si>
  <si>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</si>
  <si>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</si>
  <si>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</si>
  <si>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</si>
  <si>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</si>
  <si>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</si>
  <si>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</si>
  <si>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</si>
  <si>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</si>
  <si>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</si>
  <si>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</si>
  <si>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</si>
  <si>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</si>
  <si>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</si>
  <si>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</si>
  <si>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</si>
  <si>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</si>
  <si>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</si>
  <si>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</si>
  <si>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</si>
  <si>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</si>
  <si>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</si>
  <si>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</si>
  <si>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</si>
  <si>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</si>
  <si>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</si>
  <si>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</si>
  <si>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</si>
  <si>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</si>
  <si>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</si>
  <si>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</si>
  <si>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</si>
  <si>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</si>
  <si>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</si>
  <si>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</si>
  <si>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</si>
  <si>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</si>
  <si>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</si>
  <si>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</si>
  <si>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</si>
  <si>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</si>
  <si>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</si>
  <si>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</si>
  <si>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</si>
  <si>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</si>
  <si>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</si>
  <si>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</si>
  <si>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</si>
  <si>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</si>
  <si>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</si>
  <si>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</si>
  <si>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</si>
  <si>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</si>
  <si>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</si>
  <si>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</si>
  <si>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</si>
  <si>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</si>
  <si>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</si>
  <si>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</si>
  <si>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</si>
  <si>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</si>
  <si>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</si>
  <si>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</si>
  <si>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</si>
  <si>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</si>
  <si>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</si>
  <si>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</si>
  <si>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</si>
  <si>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</si>
  <si>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</si>
  <si>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</si>
  <si>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</si>
  <si>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</si>
  <si>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</si>
  <si>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</si>
  <si>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</si>
  <si>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</si>
  <si>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</si>
  <si>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</si>
  <si>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</si>
  <si>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</si>
  <si>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</si>
  <si>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</si>
  <si>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</si>
  <si>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</si>
  <si>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</si>
  <si>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</si>
  <si>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</si>
  <si>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</si>
  <si>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</si>
  <si>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</si>
  <si>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</si>
  <si>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</si>
  <si>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</si>
  <si>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</si>
  <si>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</si>
  <si>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</si>
  <si>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</si>
  <si>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</si>
  <si>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</si>
  <si>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</si>
  <si>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</si>
  <si>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</si>
  <si>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</si>
  <si>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</si>
  <si>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</si>
  <si>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</si>
  <si>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</si>
  <si>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</si>
  <si>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</si>
  <si>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</si>
  <si>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</si>
  <si>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</si>
  <si>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</si>
  <si>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</si>
  <si>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</si>
  <si>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</si>
  <si>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</si>
  <si>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</si>
  <si>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</si>
  <si>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</si>
  <si>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</si>
  <si>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</si>
  <si>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</si>
  <si>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</si>
  <si>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</si>
  <si>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</si>
  <si>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</si>
  <si>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</si>
  <si>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</si>
  <si>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</si>
  <si>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</si>
  <si>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</si>
  <si>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</si>
  <si>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</si>
  <si>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</si>
  <si>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</si>
  <si>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</si>
  <si>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</si>
  <si>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</si>
  <si>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</si>
  <si>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</si>
  <si>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</si>
  <si>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</si>
  <si>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</si>
  <si>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</si>
  <si>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</si>
  <si>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</si>
  <si>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</si>
  <si>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</si>
  <si>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</si>
  <si>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</si>
  <si>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</si>
  <si>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</si>
  <si>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</si>
  <si>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</si>
  <si>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</si>
  <si>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</si>
  <si>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</si>
  <si>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</si>
  <si>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</si>
  <si>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</si>
  <si>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</si>
  <si>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</si>
  <si>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</si>
  <si>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</si>
  <si>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</si>
  <si>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</si>
  <si>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</si>
  <si>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</si>
  <si>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</si>
  <si>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</si>
  <si>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</si>
  <si>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</si>
  <si>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</si>
  <si>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</si>
  <si>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</si>
  <si>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</si>
  <si>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</si>
  <si>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</si>
  <si>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</si>
  <si>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</si>
  <si>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</si>
  <si>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</si>
  <si>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</si>
  <si>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</si>
  <si>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</si>
  <si>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</si>
  <si>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</si>
  <si>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</si>
  <si>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</si>
  <si>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</si>
  <si>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</si>
  <si>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</si>
  <si>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</si>
  <si>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</si>
  <si>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</si>
  <si>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</si>
  <si>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</si>
  <si>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</si>
  <si>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</si>
  <si>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</si>
  <si>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</si>
  <si>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</si>
  <si>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</si>
  <si>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</si>
  <si>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</si>
  <si>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</si>
  <si>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</si>
  <si>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</si>
  <si>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</si>
  <si>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</si>
  <si>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</si>
  <si>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</si>
  <si>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</si>
  <si>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</si>
  <si>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</si>
  <si>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</si>
  <si>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</si>
  <si>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</si>
  <si>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</si>
  <si>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</si>
  <si>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</si>
  <si>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</si>
  <si>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</si>
  <si>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</si>
  <si>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</si>
  <si>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</si>
  <si>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</si>
  <si>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</si>
  <si>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</si>
  <si>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</si>
  <si>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</si>
  <si>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</si>
  <si>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</si>
  <si>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</si>
  <si>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</si>
  <si>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</si>
  <si>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</si>
  <si>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</si>
  <si>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</si>
  <si>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</si>
  <si>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</si>
  <si>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</si>
  <si>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</si>
  <si>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</si>
  <si>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</si>
  <si>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</si>
  <si>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</si>
  <si>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</si>
  <si>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</si>
  <si>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</si>
  <si>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</si>
  <si>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</si>
  <si>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</si>
  <si>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</si>
  <si>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</si>
  <si>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</si>
  <si>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</si>
  <si>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</si>
  <si>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</si>
  <si>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</si>
  <si>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</si>
  <si>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</si>
  <si>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</si>
  <si>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</si>
  <si>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</si>
  <si>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</si>
  <si>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</si>
  <si>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</si>
  <si>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</si>
  <si>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</si>
  <si>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</si>
  <si>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</si>
  <si>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</si>
  <si>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</si>
  <si>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</si>
  <si>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</si>
  <si>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</si>
  <si>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</si>
  <si>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</si>
  <si>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</si>
  <si>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</si>
  <si>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</si>
  <si>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</si>
  <si>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</si>
  <si>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</si>
  <si>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</si>
  <si>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</si>
  <si>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</si>
  <si>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</si>
  <si>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</si>
  <si>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</si>
  <si>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</si>
  <si>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</si>
  <si>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</si>
  <si>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</si>
  <si>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</si>
  <si>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</si>
  <si>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</si>
  <si>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</si>
  <si>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</si>
  <si>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</si>
  <si>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</si>
  <si>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</si>
  <si>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</si>
  <si>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</si>
  <si>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</si>
  <si>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</si>
  <si>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</si>
  <si>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</si>
  <si>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</si>
  <si>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</si>
  <si>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</si>
  <si>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</si>
  <si>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</si>
  <si>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</si>
  <si>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</si>
  <si>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</si>
  <si>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</si>
  <si>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</si>
  <si>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</si>
  <si>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</si>
  <si>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</si>
  <si>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</si>
  <si>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</si>
  <si>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</si>
  <si>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</si>
  <si>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</si>
  <si>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</si>
  <si>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</si>
  <si>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</si>
  <si>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</si>
  <si>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</si>
  <si>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</si>
  <si>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</si>
  <si>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</si>
  <si>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</si>
  <si>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Classic beach town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</si>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</sst>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842</v>
      </c>
      <c r="B3" t="s">
        <v>854</v>
      </c>
      <c r="C3">
        <v>1</v>
      </c>
    </row>
    <row r="4" spans="1:3" x14ac:dyDescent="0.2">
      <c r="A4" t="s">
        <v>844</v>
      </c>
      <c r="B4" t="s">
        <v>850</v>
      </c>
      <c r="C4">
        <v>0</v>
      </c>
    </row>
    <row r="5" spans="1:3" x14ac:dyDescent="0.2">
      <c r="A5" t="s">
        <v>846</v>
      </c>
      <c r="B5" t="s">
        <v>852</v>
      </c>
      <c r="C5">
        <v>1</v>
      </c>
    </row>
    <row r="6" spans="1:3" x14ac:dyDescent="0.2">
      <c r="A6" t="s">
        <v>843</v>
      </c>
      <c r="B6" t="s">
        <v>853</v>
      </c>
      <c r="C6">
        <v>1</v>
      </c>
    </row>
    <row r="7" spans="1:3" x14ac:dyDescent="0.2">
      <c r="A7" t="s">
        <v>847</v>
      </c>
      <c r="B7" t="s">
        <v>851</v>
      </c>
      <c r="C7">
        <v>1</v>
      </c>
    </row>
    <row r="8" spans="1:3" x14ac:dyDescent="0.2">
      <c r="A8" t="s">
        <v>848</v>
      </c>
      <c r="B8" t="s">
        <v>832</v>
      </c>
      <c r="C8">
        <v>0</v>
      </c>
    </row>
    <row r="9" spans="1:3" x14ac:dyDescent="0.2">
      <c r="A9" t="s">
        <v>838</v>
      </c>
      <c r="B9" t="s">
        <v>836</v>
      </c>
      <c r="C9">
        <v>1</v>
      </c>
    </row>
    <row r="10" spans="1:3" x14ac:dyDescent="0.2">
      <c r="A10" t="s">
        <v>841</v>
      </c>
      <c r="B10" t="s">
        <v>837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7" sqref="E2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701</v>
      </c>
      <c r="B2" s="2" t="s">
        <v>782</v>
      </c>
      <c r="C2" s="2">
        <v>1959</v>
      </c>
      <c r="D2" s="2" t="s">
        <v>845</v>
      </c>
      <c r="E2" s="2">
        <f t="shared" ref="E2:E33" si="0">IF(C2&gt;0,1,0)</f>
        <v>1</v>
      </c>
      <c r="F2" s="2" t="s">
        <v>737</v>
      </c>
    </row>
    <row r="3" spans="1:6" x14ac:dyDescent="0.2">
      <c r="A3" s="2" t="s">
        <v>628</v>
      </c>
      <c r="B3" s="2" t="s">
        <v>781</v>
      </c>
      <c r="C3" s="2">
        <v>1819</v>
      </c>
      <c r="D3" s="2" t="s">
        <v>838</v>
      </c>
      <c r="E3" s="2">
        <f t="shared" si="0"/>
        <v>1</v>
      </c>
      <c r="F3" s="2" t="s">
        <v>708</v>
      </c>
    </row>
    <row r="4" spans="1:6" x14ac:dyDescent="0.2">
      <c r="A4" s="2" t="s">
        <v>667</v>
      </c>
      <c r="B4" s="2" t="s">
        <v>784</v>
      </c>
      <c r="C4" s="2">
        <v>1836</v>
      </c>
      <c r="D4" s="2" t="s">
        <v>838</v>
      </c>
      <c r="E4" s="2">
        <f t="shared" si="0"/>
        <v>1</v>
      </c>
      <c r="F4" s="2" t="s">
        <v>856</v>
      </c>
    </row>
    <row r="5" spans="1:6" x14ac:dyDescent="0.2">
      <c r="A5" s="2" t="s">
        <v>605</v>
      </c>
      <c r="B5" s="2" t="s">
        <v>783</v>
      </c>
      <c r="C5" s="2">
        <v>1912</v>
      </c>
      <c r="D5" s="2" t="s">
        <v>841</v>
      </c>
      <c r="E5" s="2">
        <f t="shared" si="0"/>
        <v>1</v>
      </c>
      <c r="F5" s="2" t="s">
        <v>559</v>
      </c>
    </row>
    <row r="6" spans="1:6" x14ac:dyDescent="0.2">
      <c r="A6" s="2" t="s">
        <v>589</v>
      </c>
      <c r="B6" s="2" t="s">
        <v>785</v>
      </c>
      <c r="C6" s="2">
        <v>1850</v>
      </c>
      <c r="D6" s="2" t="s">
        <v>842</v>
      </c>
      <c r="E6" s="2">
        <f t="shared" si="0"/>
        <v>1</v>
      </c>
      <c r="F6" s="2" t="s">
        <v>576</v>
      </c>
    </row>
    <row r="7" spans="1:6" x14ac:dyDescent="0.2">
      <c r="A7" s="2" t="s">
        <v>613</v>
      </c>
      <c r="B7" s="2" t="s">
        <v>786</v>
      </c>
      <c r="C7" s="2">
        <v>1876</v>
      </c>
      <c r="D7" s="2" t="s">
        <v>841</v>
      </c>
      <c r="E7" s="2">
        <f t="shared" si="0"/>
        <v>1</v>
      </c>
      <c r="F7" s="2" t="s">
        <v>568</v>
      </c>
    </row>
    <row r="8" spans="1:6" x14ac:dyDescent="0.2">
      <c r="A8" s="2" t="s">
        <v>632</v>
      </c>
      <c r="B8" s="2" t="s">
        <v>787</v>
      </c>
      <c r="C8" s="2">
        <v>1788</v>
      </c>
      <c r="D8" s="2" t="s">
        <v>843</v>
      </c>
      <c r="E8" s="2">
        <f t="shared" si="0"/>
        <v>1</v>
      </c>
      <c r="F8" s="2" t="s">
        <v>631</v>
      </c>
    </row>
    <row r="9" spans="1:6" x14ac:dyDescent="0.2">
      <c r="A9" s="2" t="s">
        <v>609</v>
      </c>
      <c r="B9" s="2" t="s">
        <v>834</v>
      </c>
      <c r="C9" s="2">
        <v>-1</v>
      </c>
      <c r="D9" s="2" t="s">
        <v>838</v>
      </c>
      <c r="E9" s="2">
        <f t="shared" si="0"/>
        <v>0</v>
      </c>
      <c r="F9" s="2" t="s">
        <v>556</v>
      </c>
    </row>
    <row r="10" spans="1:6" x14ac:dyDescent="0.2">
      <c r="A10" s="2" t="s">
        <v>722</v>
      </c>
      <c r="B10" s="2" t="s">
        <v>788</v>
      </c>
      <c r="C10" s="2">
        <v>1787</v>
      </c>
      <c r="D10" s="2" t="s">
        <v>838</v>
      </c>
      <c r="E10" s="2">
        <f t="shared" si="0"/>
        <v>1</v>
      </c>
      <c r="F10" s="2" t="s">
        <v>723</v>
      </c>
    </row>
    <row r="11" spans="1:6" x14ac:dyDescent="0.2">
      <c r="A11" s="2" t="s">
        <v>608</v>
      </c>
      <c r="B11" s="2" t="s">
        <v>789</v>
      </c>
      <c r="C11" s="2">
        <v>1845</v>
      </c>
      <c r="D11" s="2" t="s">
        <v>838</v>
      </c>
      <c r="E11" s="2">
        <f t="shared" si="0"/>
        <v>1</v>
      </c>
      <c r="F11" s="2" t="s">
        <v>709</v>
      </c>
    </row>
    <row r="12" spans="1:6" x14ac:dyDescent="0.2">
      <c r="A12" s="2" t="s">
        <v>603</v>
      </c>
      <c r="B12" s="2" t="s">
        <v>790</v>
      </c>
      <c r="C12" s="2">
        <v>1788</v>
      </c>
      <c r="D12" s="2" t="s">
        <v>838</v>
      </c>
      <c r="E12" s="2">
        <f t="shared" si="0"/>
        <v>1</v>
      </c>
      <c r="F12" s="2" t="s">
        <v>557</v>
      </c>
    </row>
    <row r="13" spans="1:6" x14ac:dyDescent="0.2">
      <c r="A13" s="2" t="s">
        <v>640</v>
      </c>
      <c r="B13" s="2" t="s">
        <v>791</v>
      </c>
      <c r="C13" s="2">
        <v>1959</v>
      </c>
      <c r="D13" s="2" t="s">
        <v>844</v>
      </c>
      <c r="E13" s="2">
        <f t="shared" si="0"/>
        <v>1</v>
      </c>
      <c r="F13" s="2" t="s">
        <v>639</v>
      </c>
    </row>
    <row r="14" spans="1:6" x14ac:dyDescent="0.2">
      <c r="A14" s="2" t="s">
        <v>670</v>
      </c>
      <c r="B14" s="2" t="s">
        <v>795</v>
      </c>
      <c r="C14" s="2">
        <v>1846</v>
      </c>
      <c r="D14" s="2" t="s">
        <v>846</v>
      </c>
      <c r="E14" s="2">
        <f t="shared" si="0"/>
        <v>1</v>
      </c>
      <c r="F14" s="2" t="s">
        <v>669</v>
      </c>
    </row>
    <row r="15" spans="1:6" x14ac:dyDescent="0.2">
      <c r="A15" s="2" t="s">
        <v>662</v>
      </c>
      <c r="B15" s="2" t="s">
        <v>792</v>
      </c>
      <c r="C15" s="2">
        <v>1890</v>
      </c>
      <c r="D15" s="2" t="s">
        <v>847</v>
      </c>
      <c r="E15" s="2">
        <f t="shared" si="0"/>
        <v>1</v>
      </c>
      <c r="F15" s="2" t="s">
        <v>661</v>
      </c>
    </row>
    <row r="16" spans="1:6" x14ac:dyDescent="0.2">
      <c r="A16" s="2" t="s">
        <v>590</v>
      </c>
      <c r="B16" s="2" t="s">
        <v>793</v>
      </c>
      <c r="C16" s="2">
        <v>1818</v>
      </c>
      <c r="D16" s="2" t="s">
        <v>846</v>
      </c>
      <c r="E16" s="2">
        <f t="shared" si="0"/>
        <v>1</v>
      </c>
      <c r="F16" s="2" t="s">
        <v>720</v>
      </c>
    </row>
    <row r="17" spans="1:6" x14ac:dyDescent="0.2">
      <c r="A17" s="2" t="s">
        <v>620</v>
      </c>
      <c r="B17" s="2" t="s">
        <v>794</v>
      </c>
      <c r="C17" s="2">
        <v>1816</v>
      </c>
      <c r="D17" s="2" t="s">
        <v>846</v>
      </c>
      <c r="E17" s="2">
        <f t="shared" si="0"/>
        <v>1</v>
      </c>
      <c r="F17" s="2" t="s">
        <v>582</v>
      </c>
    </row>
    <row r="18" spans="1:6" x14ac:dyDescent="0.2">
      <c r="A18" s="2" t="s">
        <v>677</v>
      </c>
      <c r="B18" s="2" t="s">
        <v>796</v>
      </c>
      <c r="C18" s="2">
        <v>1861</v>
      </c>
      <c r="D18" s="2" t="s">
        <v>846</v>
      </c>
      <c r="E18" s="2">
        <f t="shared" si="0"/>
        <v>1</v>
      </c>
      <c r="F18" s="2" t="s">
        <v>717</v>
      </c>
    </row>
    <row r="19" spans="1:6" x14ac:dyDescent="0.2">
      <c r="A19" s="2" t="s">
        <v>626</v>
      </c>
      <c r="B19" s="2" t="s">
        <v>828</v>
      </c>
      <c r="C19" s="2">
        <v>1792</v>
      </c>
      <c r="D19" s="2" t="s">
        <v>838</v>
      </c>
      <c r="E19" s="2">
        <f t="shared" si="0"/>
        <v>1</v>
      </c>
      <c r="F19" s="2" t="s">
        <v>739</v>
      </c>
    </row>
    <row r="20" spans="1:6" x14ac:dyDescent="0.2">
      <c r="A20" s="2" t="s">
        <v>645</v>
      </c>
      <c r="B20" s="2" t="s">
        <v>797</v>
      </c>
      <c r="C20" s="2">
        <v>1812</v>
      </c>
      <c r="D20" s="2" t="s">
        <v>838</v>
      </c>
      <c r="E20" s="2">
        <f t="shared" si="0"/>
        <v>1</v>
      </c>
      <c r="F20" s="2" t="s">
        <v>654</v>
      </c>
    </row>
    <row r="21" spans="1:6" x14ac:dyDescent="0.2">
      <c r="A21" s="2" t="s">
        <v>606</v>
      </c>
      <c r="B21" s="2" t="s">
        <v>829</v>
      </c>
      <c r="C21" s="2">
        <v>1788</v>
      </c>
      <c r="D21" s="2" t="s">
        <v>843</v>
      </c>
      <c r="E21" s="2">
        <f t="shared" si="0"/>
        <v>1</v>
      </c>
      <c r="F21" s="2" t="s">
        <v>560</v>
      </c>
    </row>
    <row r="22" spans="1:6" x14ac:dyDescent="0.2">
      <c r="A22" s="2" t="s">
        <v>615</v>
      </c>
      <c r="B22" s="2" t="s">
        <v>799</v>
      </c>
      <c r="C22" s="2">
        <v>1788</v>
      </c>
      <c r="D22" s="2" t="s">
        <v>838</v>
      </c>
      <c r="E22" s="2">
        <f t="shared" si="0"/>
        <v>1</v>
      </c>
      <c r="F22" s="2" t="s">
        <v>743</v>
      </c>
    </row>
    <row r="23" spans="1:6" x14ac:dyDescent="0.2">
      <c r="A23" s="2" t="s">
        <v>693</v>
      </c>
      <c r="B23" s="2" t="s">
        <v>798</v>
      </c>
      <c r="C23" s="2">
        <v>1820</v>
      </c>
      <c r="D23" s="2" t="s">
        <v>843</v>
      </c>
      <c r="E23" s="2">
        <f t="shared" si="0"/>
        <v>1</v>
      </c>
      <c r="F23" s="2" t="s">
        <v>741</v>
      </c>
    </row>
    <row r="24" spans="1:6" x14ac:dyDescent="0.2">
      <c r="A24" s="2" t="s">
        <v>610</v>
      </c>
      <c r="B24" s="2" t="s">
        <v>800</v>
      </c>
      <c r="C24" s="2">
        <v>1837</v>
      </c>
      <c r="D24" s="2" t="s">
        <v>846</v>
      </c>
      <c r="E24" s="2">
        <f t="shared" si="0"/>
        <v>1</v>
      </c>
      <c r="F24" s="2" t="s">
        <v>745</v>
      </c>
    </row>
    <row r="25" spans="1:6" x14ac:dyDescent="0.2">
      <c r="A25" s="2" t="s">
        <v>612</v>
      </c>
      <c r="B25" s="2" t="s">
        <v>801</v>
      </c>
      <c r="C25" s="2">
        <v>1858</v>
      </c>
      <c r="D25" s="2" t="s">
        <v>846</v>
      </c>
      <c r="E25" s="2">
        <f t="shared" si="0"/>
        <v>1</v>
      </c>
      <c r="F25" s="2" t="s">
        <v>565</v>
      </c>
    </row>
    <row r="26" spans="1:6" x14ac:dyDescent="0.2">
      <c r="A26" s="2" t="s">
        <v>616</v>
      </c>
      <c r="B26" s="2" t="s">
        <v>803</v>
      </c>
      <c r="C26" s="2">
        <v>1821</v>
      </c>
      <c r="D26" s="2" t="s">
        <v>846</v>
      </c>
      <c r="E26" s="2">
        <f t="shared" si="0"/>
        <v>1</v>
      </c>
      <c r="F26" s="2" t="s">
        <v>727</v>
      </c>
    </row>
    <row r="27" spans="1:6" x14ac:dyDescent="0.2">
      <c r="A27" s="2" t="s">
        <v>684</v>
      </c>
      <c r="B27" s="2" t="s">
        <v>802</v>
      </c>
      <c r="C27" s="2">
        <v>1817</v>
      </c>
      <c r="D27" s="2" t="s">
        <v>838</v>
      </c>
      <c r="E27" s="2">
        <f t="shared" si="0"/>
        <v>1</v>
      </c>
      <c r="F27" s="2" t="s">
        <v>683</v>
      </c>
    </row>
    <row r="28" spans="1:6" x14ac:dyDescent="0.2">
      <c r="A28" s="2" t="s">
        <v>724</v>
      </c>
      <c r="B28" s="2" t="s">
        <v>804</v>
      </c>
      <c r="C28" s="2">
        <v>1889</v>
      </c>
      <c r="D28" s="2" t="s">
        <v>847</v>
      </c>
      <c r="E28" s="2">
        <f t="shared" si="0"/>
        <v>1</v>
      </c>
      <c r="F28" s="2" t="s">
        <v>730</v>
      </c>
    </row>
    <row r="29" spans="1:6" x14ac:dyDescent="0.2">
      <c r="A29" s="2" t="s">
        <v>614</v>
      </c>
      <c r="B29" s="2" t="s">
        <v>811</v>
      </c>
      <c r="C29" s="2">
        <v>1789</v>
      </c>
      <c r="D29" s="2" t="s">
        <v>838</v>
      </c>
      <c r="E29" s="2">
        <f t="shared" si="0"/>
        <v>1</v>
      </c>
      <c r="F29" s="2" t="s">
        <v>596</v>
      </c>
    </row>
    <row r="30" spans="1:6" x14ac:dyDescent="0.2">
      <c r="A30" s="2" t="s">
        <v>715</v>
      </c>
      <c r="B30" s="2" t="s">
        <v>812</v>
      </c>
      <c r="C30" s="2">
        <v>1889</v>
      </c>
      <c r="D30" s="2" t="s">
        <v>846</v>
      </c>
      <c r="E30" s="2">
        <f t="shared" si="0"/>
        <v>1</v>
      </c>
      <c r="F30" s="2" t="s">
        <v>728</v>
      </c>
    </row>
    <row r="31" spans="1:6" x14ac:dyDescent="0.2">
      <c r="A31" s="2" t="s">
        <v>638</v>
      </c>
      <c r="B31" s="2" t="s">
        <v>805</v>
      </c>
      <c r="C31" s="2">
        <v>1867</v>
      </c>
      <c r="D31" s="2" t="s">
        <v>846</v>
      </c>
      <c r="E31" s="2">
        <f t="shared" si="0"/>
        <v>1</v>
      </c>
      <c r="F31" s="2" t="s">
        <v>707</v>
      </c>
    </row>
    <row r="32" spans="1:6" x14ac:dyDescent="0.2">
      <c r="A32" s="2" t="s">
        <v>699</v>
      </c>
      <c r="B32" s="2" t="s">
        <v>807</v>
      </c>
      <c r="C32" s="2">
        <v>1788</v>
      </c>
      <c r="D32" s="2" t="s">
        <v>843</v>
      </c>
      <c r="E32" s="2">
        <f t="shared" si="0"/>
        <v>1</v>
      </c>
      <c r="F32" s="2" t="s">
        <v>746</v>
      </c>
    </row>
    <row r="33" spans="1:6" x14ac:dyDescent="0.2">
      <c r="A33" s="2" t="s">
        <v>703</v>
      </c>
      <c r="B33" s="2" t="s">
        <v>808</v>
      </c>
      <c r="C33" s="2">
        <v>1787</v>
      </c>
      <c r="D33" s="2" t="s">
        <v>843</v>
      </c>
      <c r="E33" s="2">
        <f t="shared" si="0"/>
        <v>1</v>
      </c>
      <c r="F33" s="2" t="s">
        <v>704</v>
      </c>
    </row>
    <row r="34" spans="1:6" x14ac:dyDescent="0.2">
      <c r="A34" s="2" t="s">
        <v>649</v>
      </c>
      <c r="B34" s="2" t="s">
        <v>809</v>
      </c>
      <c r="C34" s="2">
        <v>1912</v>
      </c>
      <c r="D34" s="2" t="s">
        <v>841</v>
      </c>
      <c r="E34" s="2">
        <f t="shared" ref="E34:E53" si="1">IF(C34&gt;0,1,0)</f>
        <v>1</v>
      </c>
      <c r="F34" s="2" t="s">
        <v>726</v>
      </c>
    </row>
    <row r="35" spans="1:6" x14ac:dyDescent="0.2">
      <c r="A35" s="2" t="s">
        <v>618</v>
      </c>
      <c r="B35" s="2" t="s">
        <v>806</v>
      </c>
      <c r="C35" s="2">
        <v>1864</v>
      </c>
      <c r="D35" s="2" t="s">
        <v>842</v>
      </c>
      <c r="E35" s="2">
        <f t="shared" si="1"/>
        <v>1</v>
      </c>
      <c r="F35" s="2" t="s">
        <v>729</v>
      </c>
    </row>
    <row r="36" spans="1:6" x14ac:dyDescent="0.2">
      <c r="A36" s="2" t="s">
        <v>588</v>
      </c>
      <c r="B36" s="2" t="s">
        <v>810</v>
      </c>
      <c r="C36" s="2">
        <v>1788</v>
      </c>
      <c r="D36" s="2" t="s">
        <v>843</v>
      </c>
      <c r="E36" s="2">
        <f t="shared" si="1"/>
        <v>1</v>
      </c>
      <c r="F36" s="2" t="s">
        <v>652</v>
      </c>
    </row>
    <row r="37" spans="1:6" x14ac:dyDescent="0.2">
      <c r="A37" s="2" t="s">
        <v>619</v>
      </c>
      <c r="B37" s="2" t="s">
        <v>813</v>
      </c>
      <c r="C37" s="2">
        <v>1803</v>
      </c>
      <c r="D37" s="3" t="s">
        <v>846</v>
      </c>
      <c r="E37" s="2">
        <f t="shared" si="1"/>
        <v>1</v>
      </c>
      <c r="F37" s="2" t="s">
        <v>581</v>
      </c>
    </row>
    <row r="38" spans="1:6" x14ac:dyDescent="0.2">
      <c r="A38" s="2" t="s">
        <v>625</v>
      </c>
      <c r="B38" s="2" t="s">
        <v>814</v>
      </c>
      <c r="C38" s="2">
        <v>1907</v>
      </c>
      <c r="D38" s="2" t="s">
        <v>841</v>
      </c>
      <c r="E38" s="2">
        <f t="shared" si="1"/>
        <v>1</v>
      </c>
      <c r="F38" s="2" t="s">
        <v>597</v>
      </c>
    </row>
    <row r="39" spans="1:6" x14ac:dyDescent="0.2">
      <c r="A39" s="2" t="s">
        <v>617</v>
      </c>
      <c r="B39" s="2" t="s">
        <v>815</v>
      </c>
      <c r="C39" s="2">
        <v>1859</v>
      </c>
      <c r="D39" s="2" t="s">
        <v>847</v>
      </c>
      <c r="E39" s="2">
        <f t="shared" si="1"/>
        <v>1</v>
      </c>
      <c r="F39" s="2" t="s">
        <v>710</v>
      </c>
    </row>
    <row r="40" spans="1:6" x14ac:dyDescent="0.2">
      <c r="A40" s="2" t="s">
        <v>604</v>
      </c>
      <c r="B40" s="2" t="s">
        <v>830</v>
      </c>
      <c r="C40" s="2">
        <v>1787</v>
      </c>
      <c r="D40" s="2" t="s">
        <v>843</v>
      </c>
      <c r="E40" s="2">
        <f t="shared" si="1"/>
        <v>1</v>
      </c>
      <c r="F40" s="2" t="s">
        <v>682</v>
      </c>
    </row>
    <row r="41" spans="1:6" x14ac:dyDescent="0.2">
      <c r="A41" s="2" t="s">
        <v>734</v>
      </c>
      <c r="B41" s="2" t="s">
        <v>832</v>
      </c>
      <c r="C41" s="2">
        <v>-1</v>
      </c>
      <c r="D41" s="2" t="s">
        <v>848</v>
      </c>
      <c r="E41" s="2">
        <f t="shared" si="1"/>
        <v>0</v>
      </c>
      <c r="F41" s="2" t="s">
        <v>733</v>
      </c>
    </row>
    <row r="42" spans="1:6" x14ac:dyDescent="0.2">
      <c r="A42" s="2" t="s">
        <v>623</v>
      </c>
      <c r="B42" s="2" t="s">
        <v>816</v>
      </c>
      <c r="C42" s="2">
        <v>1790</v>
      </c>
      <c r="D42" s="2" t="s">
        <v>843</v>
      </c>
      <c r="E42" s="2">
        <f t="shared" si="1"/>
        <v>1</v>
      </c>
      <c r="F42" s="2" t="s">
        <v>594</v>
      </c>
    </row>
    <row r="43" spans="1:6" x14ac:dyDescent="0.2">
      <c r="A43" s="2" t="s">
        <v>642</v>
      </c>
      <c r="B43" s="2" t="s">
        <v>817</v>
      </c>
      <c r="C43" s="2">
        <v>1788</v>
      </c>
      <c r="D43" s="2" t="s">
        <v>838</v>
      </c>
      <c r="E43" s="2">
        <f t="shared" si="1"/>
        <v>1</v>
      </c>
      <c r="F43" s="2" t="s">
        <v>657</v>
      </c>
    </row>
    <row r="44" spans="1:6" x14ac:dyDescent="0.2">
      <c r="A44" s="2" t="s">
        <v>712</v>
      </c>
      <c r="B44" s="2" t="s">
        <v>818</v>
      </c>
      <c r="C44" s="2">
        <v>1889</v>
      </c>
      <c r="D44" s="2" t="s">
        <v>846</v>
      </c>
      <c r="E44" s="2">
        <f t="shared" si="1"/>
        <v>1</v>
      </c>
      <c r="F44" s="2" t="s">
        <v>748</v>
      </c>
    </row>
    <row r="45" spans="1:6" x14ac:dyDescent="0.2">
      <c r="A45" s="2" t="s">
        <v>621</v>
      </c>
      <c r="B45" s="2" t="s">
        <v>819</v>
      </c>
      <c r="C45" s="2">
        <v>1796</v>
      </c>
      <c r="D45" s="2" t="s">
        <v>838</v>
      </c>
      <c r="E45" s="2">
        <f t="shared" si="1"/>
        <v>1</v>
      </c>
      <c r="F45" s="2" t="s">
        <v>584</v>
      </c>
    </row>
    <row r="46" spans="1:6" x14ac:dyDescent="0.2">
      <c r="A46" s="2" t="s">
        <v>607</v>
      </c>
      <c r="B46" s="2" t="s">
        <v>820</v>
      </c>
      <c r="C46" s="2">
        <v>1845</v>
      </c>
      <c r="D46" s="2" t="s">
        <v>841</v>
      </c>
      <c r="E46" s="2">
        <f t="shared" si="1"/>
        <v>1</v>
      </c>
      <c r="F46" s="2" t="s">
        <v>574</v>
      </c>
    </row>
    <row r="47" spans="1:6" x14ac:dyDescent="0.2">
      <c r="A47" s="2" t="s">
        <v>627</v>
      </c>
      <c r="B47" s="2" t="s">
        <v>821</v>
      </c>
      <c r="C47" s="2">
        <v>1896</v>
      </c>
      <c r="D47" s="2" t="s">
        <v>841</v>
      </c>
      <c r="E47" s="2">
        <f t="shared" si="1"/>
        <v>1</v>
      </c>
      <c r="F47" s="2" t="s">
        <v>601</v>
      </c>
    </row>
    <row r="48" spans="1:6" x14ac:dyDescent="0.2">
      <c r="A48" s="2" t="s">
        <v>622</v>
      </c>
      <c r="B48" s="2" t="s">
        <v>831</v>
      </c>
      <c r="C48" s="2">
        <v>1788</v>
      </c>
      <c r="D48" s="2" t="s">
        <v>838</v>
      </c>
      <c r="E48" s="2">
        <f t="shared" si="1"/>
        <v>1</v>
      </c>
      <c r="F48" s="2" t="s">
        <v>599</v>
      </c>
    </row>
    <row r="49" spans="1:6" x14ac:dyDescent="0.2">
      <c r="A49" s="2" t="s">
        <v>718</v>
      </c>
      <c r="B49" s="2" t="s">
        <v>822</v>
      </c>
      <c r="C49" s="2">
        <v>1791</v>
      </c>
      <c r="D49" s="2" t="s">
        <v>843</v>
      </c>
      <c r="E49" s="2">
        <f t="shared" si="1"/>
        <v>1</v>
      </c>
      <c r="F49" s="2" t="s">
        <v>751</v>
      </c>
    </row>
    <row r="50" spans="1:6" x14ac:dyDescent="0.2">
      <c r="A50" s="2" t="s">
        <v>611</v>
      </c>
      <c r="B50" s="2" t="s">
        <v>823</v>
      </c>
      <c r="C50" s="2">
        <v>1889</v>
      </c>
      <c r="D50" s="2" t="s">
        <v>847</v>
      </c>
      <c r="E50" s="2">
        <f t="shared" si="1"/>
        <v>1</v>
      </c>
      <c r="F50" s="2" t="s">
        <v>714</v>
      </c>
    </row>
    <row r="51" spans="1:6" x14ac:dyDescent="0.2">
      <c r="A51" s="2" t="s">
        <v>624</v>
      </c>
      <c r="B51" s="2" t="s">
        <v>825</v>
      </c>
      <c r="C51" s="2">
        <v>1848</v>
      </c>
      <c r="D51" s="2" t="s">
        <v>846</v>
      </c>
      <c r="E51" s="2">
        <f t="shared" si="1"/>
        <v>1</v>
      </c>
      <c r="F51" s="2" t="s">
        <v>673</v>
      </c>
    </row>
    <row r="52" spans="1:6" x14ac:dyDescent="0.2">
      <c r="A52" s="2" t="s">
        <v>705</v>
      </c>
      <c r="B52" s="2" t="s">
        <v>824</v>
      </c>
      <c r="C52" s="2">
        <v>1863</v>
      </c>
      <c r="D52" s="2" t="s">
        <v>838</v>
      </c>
      <c r="E52" s="2">
        <f t="shared" si="1"/>
        <v>1</v>
      </c>
      <c r="F52" s="2" t="s">
        <v>721</v>
      </c>
    </row>
    <row r="53" spans="1:6" x14ac:dyDescent="0.2">
      <c r="A53" s="2" t="s">
        <v>731</v>
      </c>
      <c r="B53" s="2" t="s">
        <v>826</v>
      </c>
      <c r="C53" s="2">
        <v>1890</v>
      </c>
      <c r="D53" s="2" t="s">
        <v>847</v>
      </c>
      <c r="E53" s="2">
        <f t="shared" si="1"/>
        <v>1</v>
      </c>
      <c r="F53" s="2" t="s">
        <v>732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1183</v>
      </c>
      <c r="D1" s="9" t="s">
        <v>1145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1189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1171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1172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1173</v>
      </c>
      <c r="I70" s="12">
        <v>93875</v>
      </c>
      <c r="J70" s="1" t="s">
        <v>1174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1144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5" sqref="D25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F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C29" sqref="C29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702</v>
      </c>
      <c r="B2" t="s">
        <v>701</v>
      </c>
      <c r="C2">
        <v>-149.9002778</v>
      </c>
      <c r="D2">
        <v>61.2180556</v>
      </c>
    </row>
    <row r="3" spans="1:4" x14ac:dyDescent="0.2">
      <c r="A3" t="s">
        <v>860</v>
      </c>
      <c r="B3" t="s">
        <v>701</v>
      </c>
      <c r="C3">
        <v>-147.72305600000001</v>
      </c>
      <c r="D3">
        <v>64.843610999999996</v>
      </c>
    </row>
    <row r="4" spans="1:4" x14ac:dyDescent="0.2">
      <c r="A4" t="s">
        <v>737</v>
      </c>
      <c r="B4" t="s">
        <v>701</v>
      </c>
      <c r="C4">
        <v>-134.42161300000001</v>
      </c>
      <c r="D4">
        <v>58.301448999999998</v>
      </c>
    </row>
    <row r="5" spans="1:4" x14ac:dyDescent="0.2">
      <c r="A5" t="s">
        <v>602</v>
      </c>
      <c r="B5" t="s">
        <v>628</v>
      </c>
      <c r="C5">
        <v>-86.8103567</v>
      </c>
      <c r="D5">
        <v>33.518589200000001</v>
      </c>
    </row>
    <row r="6" spans="1:4" x14ac:dyDescent="0.2">
      <c r="A6" t="s">
        <v>708</v>
      </c>
      <c r="B6" t="s">
        <v>628</v>
      </c>
      <c r="C6">
        <v>-86.307736800000001</v>
      </c>
      <c r="D6">
        <v>32.3792233</v>
      </c>
    </row>
    <row r="7" spans="1:4" x14ac:dyDescent="0.2">
      <c r="A7" t="s">
        <v>856</v>
      </c>
      <c r="B7" t="s">
        <v>667</v>
      </c>
      <c r="C7">
        <v>-92.289594800000003</v>
      </c>
      <c r="D7">
        <v>34.746480900000002</v>
      </c>
    </row>
    <row r="8" spans="1:4" x14ac:dyDescent="0.2">
      <c r="A8" t="s">
        <v>867</v>
      </c>
      <c r="B8" t="s">
        <v>605</v>
      </c>
      <c r="C8">
        <v>-111.62</v>
      </c>
      <c r="D8">
        <v>35.180556000000003</v>
      </c>
    </row>
    <row r="9" spans="1:4" x14ac:dyDescent="0.2">
      <c r="A9" t="s">
        <v>559</v>
      </c>
      <c r="B9" t="s">
        <v>605</v>
      </c>
      <c r="C9">
        <v>-112.0740373</v>
      </c>
      <c r="D9">
        <v>33.448377100000002</v>
      </c>
    </row>
    <row r="10" spans="1:4" x14ac:dyDescent="0.2">
      <c r="A10" t="s">
        <v>634</v>
      </c>
      <c r="B10" t="s">
        <v>605</v>
      </c>
      <c r="C10">
        <v>-110.9747108</v>
      </c>
      <c r="D10">
        <v>32.222606599999999</v>
      </c>
    </row>
    <row r="11" spans="1:4" x14ac:dyDescent="0.2">
      <c r="A11" t="s">
        <v>967</v>
      </c>
      <c r="B11" t="s">
        <v>589</v>
      </c>
      <c r="C11">
        <v>-124.163611</v>
      </c>
      <c r="D11">
        <v>40.801943999999999</v>
      </c>
    </row>
    <row r="12" spans="1:4" x14ac:dyDescent="0.2">
      <c r="A12" t="s">
        <v>629</v>
      </c>
      <c r="B12" t="s">
        <v>589</v>
      </c>
      <c r="C12">
        <v>-119.78712470000001</v>
      </c>
      <c r="D12">
        <v>36.737798099999999</v>
      </c>
    </row>
    <row r="13" spans="1:4" x14ac:dyDescent="0.2">
      <c r="A13" t="s">
        <v>551</v>
      </c>
      <c r="B13" t="s">
        <v>589</v>
      </c>
      <c r="C13">
        <v>-118.24368490000001</v>
      </c>
      <c r="D13">
        <v>34.052234200000001</v>
      </c>
    </row>
    <row r="14" spans="1:4" x14ac:dyDescent="0.2">
      <c r="A14" t="s">
        <v>561</v>
      </c>
      <c r="B14" t="s">
        <v>589</v>
      </c>
      <c r="C14">
        <v>-117.37549420000001</v>
      </c>
      <c r="D14">
        <v>33.980600500000001</v>
      </c>
    </row>
    <row r="15" spans="1:4" x14ac:dyDescent="0.2">
      <c r="A15" t="s">
        <v>576</v>
      </c>
      <c r="B15" t="s">
        <v>589</v>
      </c>
      <c r="C15">
        <v>-121.49439959999999</v>
      </c>
      <c r="D15">
        <v>38.5815719</v>
      </c>
    </row>
    <row r="16" spans="1:4" x14ac:dyDescent="0.2">
      <c r="A16" t="s">
        <v>567</v>
      </c>
      <c r="B16" t="s">
        <v>589</v>
      </c>
      <c r="C16">
        <v>-117.1610838</v>
      </c>
      <c r="D16">
        <v>32.715738000000002</v>
      </c>
    </row>
    <row r="17" spans="1:4" x14ac:dyDescent="0.2">
      <c r="A17" t="s">
        <v>562</v>
      </c>
      <c r="B17" t="s">
        <v>589</v>
      </c>
      <c r="C17">
        <v>-122.4194155</v>
      </c>
      <c r="D17">
        <v>37.774929499999999</v>
      </c>
    </row>
    <row r="18" spans="1:4" x14ac:dyDescent="0.2">
      <c r="A18" t="s">
        <v>591</v>
      </c>
      <c r="B18" t="s">
        <v>589</v>
      </c>
      <c r="C18">
        <v>-121.8863286</v>
      </c>
      <c r="D18">
        <v>37.338208199999997</v>
      </c>
    </row>
    <row r="19" spans="1:4" x14ac:dyDescent="0.2">
      <c r="A19" t="s">
        <v>866</v>
      </c>
      <c r="B19" t="s">
        <v>589</v>
      </c>
      <c r="C19">
        <v>-119.7</v>
      </c>
      <c r="D19">
        <v>34.416666999999997</v>
      </c>
    </row>
    <row r="20" spans="1:4" x14ac:dyDescent="0.2">
      <c r="A20" t="s">
        <v>968</v>
      </c>
      <c r="B20" t="s">
        <v>589</v>
      </c>
      <c r="C20">
        <v>-120.38166699999999</v>
      </c>
      <c r="D20">
        <v>37.984444000000003</v>
      </c>
    </row>
    <row r="21" spans="1:4" x14ac:dyDescent="0.2">
      <c r="A21" t="s">
        <v>868</v>
      </c>
      <c r="B21" t="s">
        <v>613</v>
      </c>
      <c r="C21">
        <v>-104.825278</v>
      </c>
      <c r="D21">
        <v>38.833888999999999</v>
      </c>
    </row>
    <row r="22" spans="1:4" x14ac:dyDescent="0.2">
      <c r="A22" t="s">
        <v>568</v>
      </c>
      <c r="B22" t="s">
        <v>613</v>
      </c>
      <c r="C22">
        <v>-104.990251</v>
      </c>
      <c r="D22">
        <v>39.739235800000003</v>
      </c>
    </row>
    <row r="23" spans="1:4" x14ac:dyDescent="0.2">
      <c r="A23" t="s">
        <v>631</v>
      </c>
      <c r="B23" t="s">
        <v>632</v>
      </c>
      <c r="C23">
        <v>-72.673372299999997</v>
      </c>
      <c r="D23">
        <v>41.765804299999999</v>
      </c>
    </row>
    <row r="24" spans="1:4" x14ac:dyDescent="0.2">
      <c r="A24" t="s">
        <v>689</v>
      </c>
      <c r="B24" t="s">
        <v>632</v>
      </c>
      <c r="C24">
        <v>-72.923610999999994</v>
      </c>
      <c r="D24">
        <v>41.31</v>
      </c>
    </row>
    <row r="25" spans="1:4" x14ac:dyDescent="0.2">
      <c r="A25" t="s">
        <v>556</v>
      </c>
      <c r="B25" t="s">
        <v>609</v>
      </c>
      <c r="C25">
        <v>-77.036870699999994</v>
      </c>
      <c r="D25">
        <v>38.907192299999998</v>
      </c>
    </row>
    <row r="26" spans="1:4" x14ac:dyDescent="0.2">
      <c r="A26" t="s">
        <v>723</v>
      </c>
      <c r="B26" t="s">
        <v>722</v>
      </c>
      <c r="C26">
        <v>-75.524368199999998</v>
      </c>
      <c r="D26">
        <v>39.158168000000003</v>
      </c>
    </row>
    <row r="27" spans="1:4" x14ac:dyDescent="0.2">
      <c r="A27" t="s">
        <v>593</v>
      </c>
      <c r="B27" t="s">
        <v>608</v>
      </c>
      <c r="C27">
        <v>-81.655651000000006</v>
      </c>
      <c r="D27">
        <v>30.332183799999999</v>
      </c>
    </row>
    <row r="28" spans="1:4" x14ac:dyDescent="0.2">
      <c r="A28" t="s">
        <v>969</v>
      </c>
      <c r="B28" t="s">
        <v>608</v>
      </c>
      <c r="C28">
        <v>-81.781943999999996</v>
      </c>
      <c r="D28">
        <v>24.555</v>
      </c>
    </row>
    <row r="29" spans="1:4" x14ac:dyDescent="0.2">
      <c r="A29" t="s">
        <v>555</v>
      </c>
      <c r="B29" t="s">
        <v>608</v>
      </c>
      <c r="C29">
        <v>-80.1917902</v>
      </c>
      <c r="D29">
        <v>25.7616798</v>
      </c>
    </row>
    <row r="30" spans="1:4" x14ac:dyDescent="0.2">
      <c r="A30" t="s">
        <v>569</v>
      </c>
      <c r="B30" t="s">
        <v>608</v>
      </c>
      <c r="C30">
        <v>-81.378926899999996</v>
      </c>
      <c r="D30">
        <v>28.538383199999998</v>
      </c>
    </row>
    <row r="31" spans="1:4" x14ac:dyDescent="0.2">
      <c r="A31" t="s">
        <v>709</v>
      </c>
      <c r="B31" t="s">
        <v>608</v>
      </c>
      <c r="C31">
        <v>-84.280732900000004</v>
      </c>
      <c r="D31">
        <v>30.438255900000001</v>
      </c>
    </row>
    <row r="32" spans="1:4" x14ac:dyDescent="0.2">
      <c r="A32" t="s">
        <v>566</v>
      </c>
      <c r="B32" t="s">
        <v>608</v>
      </c>
      <c r="C32">
        <v>-82.457177599999994</v>
      </c>
      <c r="D32">
        <v>27.950575000000001</v>
      </c>
    </row>
    <row r="33" spans="1:4" x14ac:dyDescent="0.2">
      <c r="A33" t="s">
        <v>557</v>
      </c>
      <c r="B33" t="s">
        <v>603</v>
      </c>
      <c r="C33">
        <v>-84.387982399999999</v>
      </c>
      <c r="D33">
        <v>33.748995399999998</v>
      </c>
    </row>
    <row r="34" spans="1:4" x14ac:dyDescent="0.2">
      <c r="A34" t="s">
        <v>865</v>
      </c>
      <c r="B34" t="s">
        <v>603</v>
      </c>
      <c r="C34">
        <v>-81.091202999999993</v>
      </c>
      <c r="D34">
        <v>32.080898900000001</v>
      </c>
    </row>
    <row r="35" spans="1:4" x14ac:dyDescent="0.2">
      <c r="A35" t="s">
        <v>639</v>
      </c>
      <c r="B35" t="s">
        <v>640</v>
      </c>
      <c r="C35">
        <v>-157.8583333</v>
      </c>
      <c r="D35">
        <v>21.306944399999999</v>
      </c>
    </row>
    <row r="36" spans="1:4" x14ac:dyDescent="0.2">
      <c r="A36" t="s">
        <v>872</v>
      </c>
      <c r="B36" t="s">
        <v>670</v>
      </c>
      <c r="C36">
        <v>-90.577636699999999</v>
      </c>
      <c r="D36">
        <v>41.523643700000001</v>
      </c>
    </row>
    <row r="37" spans="1:4" x14ac:dyDescent="0.2">
      <c r="A37" t="s">
        <v>669</v>
      </c>
      <c r="B37" t="s">
        <v>670</v>
      </c>
      <c r="C37">
        <v>-93.6249593</v>
      </c>
      <c r="D37">
        <v>41.586835299999997</v>
      </c>
    </row>
    <row r="38" spans="1:4" x14ac:dyDescent="0.2">
      <c r="A38" t="s">
        <v>661</v>
      </c>
      <c r="B38" t="s">
        <v>662</v>
      </c>
      <c r="C38">
        <v>-116.2023137</v>
      </c>
      <c r="D38">
        <v>43.615018599999999</v>
      </c>
    </row>
    <row r="39" spans="1:4" x14ac:dyDescent="0.2">
      <c r="A39" t="s">
        <v>971</v>
      </c>
      <c r="B39" t="s">
        <v>662</v>
      </c>
      <c r="C39">
        <v>-116.78</v>
      </c>
      <c r="D39">
        <v>47.692777999999997</v>
      </c>
    </row>
    <row r="40" spans="1:4" x14ac:dyDescent="0.2">
      <c r="A40" t="s">
        <v>552</v>
      </c>
      <c r="B40" t="s">
        <v>590</v>
      </c>
      <c r="C40">
        <v>-87.629798199999996</v>
      </c>
      <c r="D40">
        <v>41.878113599999999</v>
      </c>
    </row>
    <row r="41" spans="1:4" x14ac:dyDescent="0.2">
      <c r="A41" t="s">
        <v>720</v>
      </c>
      <c r="B41" t="s">
        <v>590</v>
      </c>
      <c r="C41">
        <v>-89.650148099999996</v>
      </c>
      <c r="D41">
        <v>39.781721300000001</v>
      </c>
    </row>
    <row r="42" spans="1:4" x14ac:dyDescent="0.2">
      <c r="A42" t="s">
        <v>582</v>
      </c>
      <c r="B42" t="s">
        <v>620</v>
      </c>
      <c r="C42">
        <v>-86.158068</v>
      </c>
      <c r="D42">
        <v>39.768402999999999</v>
      </c>
    </row>
    <row r="43" spans="1:4" x14ac:dyDescent="0.2">
      <c r="A43" t="s">
        <v>717</v>
      </c>
      <c r="B43" t="s">
        <v>677</v>
      </c>
      <c r="C43">
        <v>-95.675157600000006</v>
      </c>
      <c r="D43">
        <v>39.047345100000001</v>
      </c>
    </row>
    <row r="44" spans="1:4" x14ac:dyDescent="0.2">
      <c r="A44" t="s">
        <v>972</v>
      </c>
      <c r="B44" t="s">
        <v>677</v>
      </c>
      <c r="C44">
        <v>-97.330053000000007</v>
      </c>
      <c r="D44">
        <v>37.687176100000002</v>
      </c>
    </row>
    <row r="45" spans="1:4" x14ac:dyDescent="0.2">
      <c r="A45" t="s">
        <v>864</v>
      </c>
      <c r="B45" t="s">
        <v>626</v>
      </c>
      <c r="C45" s="6">
        <v>-86.444444000000004</v>
      </c>
      <c r="D45" s="6">
        <v>36.981667000000002</v>
      </c>
    </row>
    <row r="46" spans="1:4" x14ac:dyDescent="0.2">
      <c r="A46" t="s">
        <v>739</v>
      </c>
      <c r="B46" t="s">
        <v>626</v>
      </c>
      <c r="C46">
        <v>-84.873283499999999</v>
      </c>
      <c r="D46">
        <v>38.200905499999998</v>
      </c>
    </row>
    <row r="47" spans="1:4" x14ac:dyDescent="0.2">
      <c r="A47" t="s">
        <v>598</v>
      </c>
      <c r="B47" t="s">
        <v>626</v>
      </c>
      <c r="C47">
        <v>-85.758455699999999</v>
      </c>
      <c r="D47">
        <v>38.252664699999997</v>
      </c>
    </row>
    <row r="48" spans="1:4" x14ac:dyDescent="0.2">
      <c r="A48" t="s">
        <v>654</v>
      </c>
      <c r="B48" t="s">
        <v>645</v>
      </c>
      <c r="C48">
        <v>-91.187146600000005</v>
      </c>
      <c r="D48">
        <v>30.451467699999998</v>
      </c>
    </row>
    <row r="49" spans="1:4" x14ac:dyDescent="0.2">
      <c r="A49" t="s">
        <v>644</v>
      </c>
      <c r="B49" t="s">
        <v>645</v>
      </c>
      <c r="C49">
        <v>-90.071532300000001</v>
      </c>
      <c r="D49">
        <v>29.951065799999999</v>
      </c>
    </row>
    <row r="50" spans="1:4" x14ac:dyDescent="0.2">
      <c r="A50" t="s">
        <v>560</v>
      </c>
      <c r="B50" t="s">
        <v>606</v>
      </c>
      <c r="C50">
        <v>-71.058880099999996</v>
      </c>
      <c r="D50">
        <v>42.360082499999997</v>
      </c>
    </row>
    <row r="51" spans="1:4" x14ac:dyDescent="0.2">
      <c r="A51" t="s">
        <v>743</v>
      </c>
      <c r="B51" t="s">
        <v>615</v>
      </c>
      <c r="C51">
        <v>-76.492182900000003</v>
      </c>
      <c r="D51">
        <v>38.978445299999997</v>
      </c>
    </row>
    <row r="52" spans="1:4" x14ac:dyDescent="0.2">
      <c r="A52" t="s">
        <v>571</v>
      </c>
      <c r="B52" t="s">
        <v>615</v>
      </c>
      <c r="C52">
        <v>-76.612189299999997</v>
      </c>
      <c r="D52">
        <v>39.290384799999998</v>
      </c>
    </row>
    <row r="53" spans="1:4" x14ac:dyDescent="0.2">
      <c r="A53" t="s">
        <v>741</v>
      </c>
      <c r="B53" t="s">
        <v>693</v>
      </c>
      <c r="C53">
        <v>-69.779489699999999</v>
      </c>
      <c r="D53">
        <v>44.310624099999998</v>
      </c>
    </row>
    <row r="54" spans="1:4" x14ac:dyDescent="0.2">
      <c r="A54" t="s">
        <v>692</v>
      </c>
      <c r="B54" t="s">
        <v>693</v>
      </c>
      <c r="C54">
        <v>-70.256818899999999</v>
      </c>
      <c r="D54">
        <v>43.659099300000001</v>
      </c>
    </row>
    <row r="55" spans="1:4" x14ac:dyDescent="0.2">
      <c r="A55" t="s">
        <v>563</v>
      </c>
      <c r="B55" t="s">
        <v>610</v>
      </c>
      <c r="C55">
        <v>-83.0457538</v>
      </c>
      <c r="D55">
        <v>42.331426999999998</v>
      </c>
    </row>
    <row r="56" spans="1:4" x14ac:dyDescent="0.2">
      <c r="A56" t="s">
        <v>630</v>
      </c>
      <c r="B56" t="s">
        <v>610</v>
      </c>
      <c r="C56">
        <v>-85.668086299999999</v>
      </c>
      <c r="D56">
        <v>42.9633599</v>
      </c>
    </row>
    <row r="57" spans="1:4" x14ac:dyDescent="0.2">
      <c r="A57" t="s">
        <v>745</v>
      </c>
      <c r="B57" t="s">
        <v>610</v>
      </c>
      <c r="C57">
        <v>-84.555534699999995</v>
      </c>
      <c r="D57">
        <v>42.732534999999999</v>
      </c>
    </row>
    <row r="58" spans="1:4" x14ac:dyDescent="0.2">
      <c r="A58" t="s">
        <v>565</v>
      </c>
      <c r="B58" t="s">
        <v>612</v>
      </c>
      <c r="C58">
        <v>-93.265010799999999</v>
      </c>
      <c r="D58">
        <v>44.977753</v>
      </c>
    </row>
    <row r="59" spans="1:4" x14ac:dyDescent="0.2">
      <c r="A59" t="s">
        <v>727</v>
      </c>
      <c r="B59" t="s">
        <v>616</v>
      </c>
      <c r="C59">
        <v>-92.173516399999997</v>
      </c>
      <c r="D59">
        <v>38.576701700000001</v>
      </c>
    </row>
    <row r="60" spans="1:4" x14ac:dyDescent="0.2">
      <c r="A60" t="s">
        <v>580</v>
      </c>
      <c r="B60" t="s">
        <v>616</v>
      </c>
      <c r="C60">
        <v>-94.578566699999996</v>
      </c>
      <c r="D60">
        <v>39.099726500000003</v>
      </c>
    </row>
    <row r="61" spans="1:4" x14ac:dyDescent="0.2">
      <c r="A61" t="s">
        <v>572</v>
      </c>
      <c r="B61" t="s">
        <v>616</v>
      </c>
      <c r="C61">
        <v>-90.199404200000004</v>
      </c>
      <c r="D61">
        <v>38.627002500000003</v>
      </c>
    </row>
    <row r="62" spans="1:4" x14ac:dyDescent="0.2">
      <c r="A62" t="s">
        <v>683</v>
      </c>
      <c r="B62" t="s">
        <v>684</v>
      </c>
      <c r="C62">
        <v>-90.184810299999995</v>
      </c>
      <c r="D62">
        <v>32.298757299999998</v>
      </c>
    </row>
    <row r="63" spans="1:4" x14ac:dyDescent="0.2">
      <c r="A63" t="s">
        <v>725</v>
      </c>
      <c r="B63" t="s">
        <v>724</v>
      </c>
      <c r="C63">
        <v>-108.5006904</v>
      </c>
      <c r="D63">
        <v>45.783285599999999</v>
      </c>
    </row>
    <row r="64" spans="1:4" x14ac:dyDescent="0.2">
      <c r="A64" t="s">
        <v>863</v>
      </c>
      <c r="B64" t="s">
        <v>724</v>
      </c>
      <c r="C64">
        <v>-111.047222</v>
      </c>
      <c r="D64">
        <v>45.677778000000004</v>
      </c>
    </row>
    <row r="65" spans="1:4" x14ac:dyDescent="0.2">
      <c r="A65" t="s">
        <v>730</v>
      </c>
      <c r="B65" t="s">
        <v>724</v>
      </c>
      <c r="C65">
        <v>-112.03910569999999</v>
      </c>
      <c r="D65">
        <v>46.589145199999997</v>
      </c>
    </row>
    <row r="66" spans="1:4" x14ac:dyDescent="0.2">
      <c r="A66" t="s">
        <v>862</v>
      </c>
      <c r="B66" t="s">
        <v>614</v>
      </c>
      <c r="C66">
        <v>-82.682777999999999</v>
      </c>
      <c r="D66" s="6">
        <v>35.600555999999997</v>
      </c>
    </row>
    <row r="67" spans="1:4" x14ac:dyDescent="0.2">
      <c r="A67" t="s">
        <v>570</v>
      </c>
      <c r="B67" t="s">
        <v>614</v>
      </c>
      <c r="C67">
        <v>-80.843126699999999</v>
      </c>
      <c r="D67">
        <v>35.227086900000003</v>
      </c>
    </row>
    <row r="68" spans="1:4" x14ac:dyDescent="0.2">
      <c r="A68" t="s">
        <v>596</v>
      </c>
      <c r="B68" t="s">
        <v>614</v>
      </c>
      <c r="C68">
        <v>-78.638178699999997</v>
      </c>
      <c r="D68">
        <v>35.779589700000002</v>
      </c>
    </row>
    <row r="69" spans="1:4" x14ac:dyDescent="0.2">
      <c r="A69" t="s">
        <v>728</v>
      </c>
      <c r="B69" t="s">
        <v>715</v>
      </c>
      <c r="C69">
        <v>-100.7837392</v>
      </c>
      <c r="D69">
        <v>46.808326800000003</v>
      </c>
    </row>
    <row r="70" spans="1:4" x14ac:dyDescent="0.2">
      <c r="A70" t="s">
        <v>716</v>
      </c>
      <c r="B70" t="s">
        <v>715</v>
      </c>
      <c r="C70">
        <v>-96.789803399999997</v>
      </c>
      <c r="D70">
        <v>46.877186299999998</v>
      </c>
    </row>
    <row r="71" spans="1:4" x14ac:dyDescent="0.2">
      <c r="A71" t="s">
        <v>707</v>
      </c>
      <c r="B71" t="s">
        <v>638</v>
      </c>
      <c r="C71">
        <v>-96.702595500000001</v>
      </c>
      <c r="D71">
        <v>40.813616000000003</v>
      </c>
    </row>
    <row r="72" spans="1:4" x14ac:dyDescent="0.2">
      <c r="A72" t="s">
        <v>637</v>
      </c>
      <c r="B72" t="s">
        <v>638</v>
      </c>
      <c r="C72">
        <v>-95.934503399999997</v>
      </c>
      <c r="D72">
        <v>41.2565369</v>
      </c>
    </row>
    <row r="73" spans="1:4" x14ac:dyDescent="0.2">
      <c r="A73" t="s">
        <v>746</v>
      </c>
      <c r="B73" t="s">
        <v>699</v>
      </c>
      <c r="C73">
        <v>-71.537571799999995</v>
      </c>
      <c r="D73">
        <v>43.208136600000003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704</v>
      </c>
      <c r="B75" t="s">
        <v>703</v>
      </c>
      <c r="C75">
        <v>-74.759716999999995</v>
      </c>
      <c r="D75">
        <v>40.220582399999998</v>
      </c>
    </row>
    <row r="76" spans="1:4" x14ac:dyDescent="0.2">
      <c r="A76" t="s">
        <v>648</v>
      </c>
      <c r="B76" t="s">
        <v>649</v>
      </c>
      <c r="C76">
        <v>-106.65042200000001</v>
      </c>
      <c r="D76">
        <v>35.084385900000001</v>
      </c>
    </row>
    <row r="77" spans="1:4" x14ac:dyDescent="0.2">
      <c r="A77" t="s">
        <v>726</v>
      </c>
      <c r="B77" t="s">
        <v>649</v>
      </c>
      <c r="C77">
        <v>-105.937799</v>
      </c>
      <c r="D77">
        <v>35.686975199999999</v>
      </c>
    </row>
    <row r="78" spans="1:4" x14ac:dyDescent="0.2">
      <c r="A78" t="s">
        <v>973</v>
      </c>
      <c r="B78" t="s">
        <v>649</v>
      </c>
      <c r="C78">
        <v>-105.576667</v>
      </c>
      <c r="D78">
        <v>36.393889000000001</v>
      </c>
    </row>
    <row r="79" spans="1:4" x14ac:dyDescent="0.2">
      <c r="A79" t="s">
        <v>729</v>
      </c>
      <c r="B79" t="s">
        <v>618</v>
      </c>
      <c r="C79">
        <v>-119.76740340000001</v>
      </c>
      <c r="D79">
        <v>39.163798399999997</v>
      </c>
    </row>
    <row r="80" spans="1:4" x14ac:dyDescent="0.2">
      <c r="A80" t="s">
        <v>578</v>
      </c>
      <c r="B80" t="s">
        <v>618</v>
      </c>
      <c r="C80">
        <v>-115.1398296</v>
      </c>
      <c r="D80">
        <v>36.169941199999997</v>
      </c>
    </row>
    <row r="81" spans="1:4" x14ac:dyDescent="0.2">
      <c r="A81" t="s">
        <v>652</v>
      </c>
      <c r="B81" t="s">
        <v>588</v>
      </c>
      <c r="C81">
        <v>-73.756231700000001</v>
      </c>
      <c r="D81">
        <v>42.652579299999999</v>
      </c>
    </row>
    <row r="82" spans="1:4" x14ac:dyDescent="0.2">
      <c r="A82" t="s">
        <v>633</v>
      </c>
      <c r="B82" t="s">
        <v>588</v>
      </c>
      <c r="C82">
        <v>-78.878368899999998</v>
      </c>
      <c r="D82">
        <v>42.886446800000002</v>
      </c>
    </row>
    <row r="83" spans="1:4" x14ac:dyDescent="0.2">
      <c r="A83" t="s">
        <v>550</v>
      </c>
      <c r="B83" t="s">
        <v>588</v>
      </c>
      <c r="C83">
        <v>-74.005972799999995</v>
      </c>
      <c r="D83">
        <v>40.712775299999997</v>
      </c>
    </row>
    <row r="84" spans="1:4" x14ac:dyDescent="0.2">
      <c r="A84" t="s">
        <v>636</v>
      </c>
      <c r="B84" t="s">
        <v>588</v>
      </c>
      <c r="C84">
        <v>-77.608846499999999</v>
      </c>
      <c r="D84">
        <v>43.156577900000002</v>
      </c>
    </row>
    <row r="85" spans="1:4" x14ac:dyDescent="0.2">
      <c r="A85" t="s">
        <v>579</v>
      </c>
      <c r="B85" t="s">
        <v>619</v>
      </c>
      <c r="C85">
        <v>-84.512019600000002</v>
      </c>
      <c r="D85">
        <v>39.103118199999997</v>
      </c>
    </row>
    <row r="86" spans="1:4" x14ac:dyDescent="0.2">
      <c r="A86" t="s">
        <v>583</v>
      </c>
      <c r="B86" t="s">
        <v>619</v>
      </c>
      <c r="C86">
        <v>-81.694360500000002</v>
      </c>
      <c r="D86">
        <v>41.499319999999997</v>
      </c>
    </row>
    <row r="87" spans="1:4" x14ac:dyDescent="0.2">
      <c r="A87" t="s">
        <v>581</v>
      </c>
      <c r="B87" t="s">
        <v>619</v>
      </c>
      <c r="C87">
        <v>-82.998794200000006</v>
      </c>
      <c r="D87">
        <v>39.961175500000003</v>
      </c>
    </row>
    <row r="88" spans="1:4" x14ac:dyDescent="0.2">
      <c r="A88" t="s">
        <v>597</v>
      </c>
      <c r="B88" t="s">
        <v>625</v>
      </c>
      <c r="C88">
        <v>-97.5164276</v>
      </c>
      <c r="D88">
        <v>35.467560200000001</v>
      </c>
    </row>
    <row r="89" spans="1:4" x14ac:dyDescent="0.2">
      <c r="A89" t="s">
        <v>635</v>
      </c>
      <c r="B89" t="s">
        <v>625</v>
      </c>
      <c r="C89">
        <v>-95.992774999999995</v>
      </c>
      <c r="D89">
        <v>36.153981600000002</v>
      </c>
    </row>
    <row r="90" spans="1:4" x14ac:dyDescent="0.2">
      <c r="A90" t="s">
        <v>861</v>
      </c>
      <c r="B90" t="s">
        <v>617</v>
      </c>
      <c r="C90">
        <v>-123.328333</v>
      </c>
      <c r="D90">
        <v>42.438889000000003</v>
      </c>
    </row>
    <row r="91" spans="1:4" x14ac:dyDescent="0.2">
      <c r="A91" t="s">
        <v>575</v>
      </c>
      <c r="B91" t="s">
        <v>617</v>
      </c>
      <c r="C91">
        <v>-122.6783853</v>
      </c>
      <c r="D91">
        <v>45.515231999999997</v>
      </c>
    </row>
    <row r="92" spans="1:4" x14ac:dyDescent="0.2">
      <c r="A92" t="s">
        <v>710</v>
      </c>
      <c r="B92" t="s">
        <v>617</v>
      </c>
      <c r="C92">
        <v>-123.03509630000001</v>
      </c>
      <c r="D92">
        <v>44.942897500000001</v>
      </c>
    </row>
    <row r="93" spans="1:4" x14ac:dyDescent="0.2">
      <c r="A93" t="s">
        <v>682</v>
      </c>
      <c r="B93" t="s">
        <v>604</v>
      </c>
      <c r="C93">
        <v>-76.8867008</v>
      </c>
      <c r="D93">
        <v>40.273191099999998</v>
      </c>
    </row>
    <row r="94" spans="1:4" x14ac:dyDescent="0.2">
      <c r="A94" t="s">
        <v>558</v>
      </c>
      <c r="B94" t="s">
        <v>604</v>
      </c>
      <c r="C94">
        <v>-75.165221500000001</v>
      </c>
      <c r="D94">
        <v>39.9525839</v>
      </c>
    </row>
    <row r="95" spans="1:4" x14ac:dyDescent="0.2">
      <c r="A95" t="s">
        <v>577</v>
      </c>
      <c r="B95" t="s">
        <v>604</v>
      </c>
      <c r="C95">
        <v>-79.995886400000003</v>
      </c>
      <c r="D95">
        <v>40.440624800000002</v>
      </c>
    </row>
    <row r="96" spans="1:4" x14ac:dyDescent="0.2">
      <c r="A96" t="s">
        <v>733</v>
      </c>
      <c r="B96" t="s">
        <v>734</v>
      </c>
      <c r="C96">
        <v>-66.105735499999994</v>
      </c>
      <c r="D96">
        <v>18.465539400000001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658</v>
      </c>
      <c r="B98" t="s">
        <v>642</v>
      </c>
      <c r="C98">
        <v>-79.931051199999999</v>
      </c>
      <c r="D98">
        <v>32.776474899999997</v>
      </c>
    </row>
    <row r="99" spans="1:4" x14ac:dyDescent="0.2">
      <c r="A99" t="s">
        <v>657</v>
      </c>
      <c r="B99" t="s">
        <v>642</v>
      </c>
      <c r="C99">
        <v>-81.034814400000002</v>
      </c>
      <c r="D99">
        <v>34.000710400000003</v>
      </c>
    </row>
    <row r="100" spans="1:4" x14ac:dyDescent="0.2">
      <c r="A100" t="s">
        <v>641</v>
      </c>
      <c r="B100" t="s">
        <v>642</v>
      </c>
      <c r="C100">
        <v>-82.413332999999994</v>
      </c>
      <c r="D100">
        <v>34.861111000000001</v>
      </c>
    </row>
    <row r="101" spans="1:4" x14ac:dyDescent="0.2">
      <c r="A101" t="s">
        <v>748</v>
      </c>
      <c r="B101" t="s">
        <v>712</v>
      </c>
      <c r="C101">
        <v>-100.3537522</v>
      </c>
      <c r="D101">
        <v>44.366787600000002</v>
      </c>
    </row>
    <row r="102" spans="1:4" x14ac:dyDescent="0.2">
      <c r="A102" t="s">
        <v>859</v>
      </c>
      <c r="B102" t="s">
        <v>712</v>
      </c>
      <c r="C102">
        <v>-103.220833</v>
      </c>
      <c r="D102">
        <v>44.071389000000003</v>
      </c>
    </row>
    <row r="103" spans="1:4" x14ac:dyDescent="0.2">
      <c r="A103" t="s">
        <v>713</v>
      </c>
      <c r="B103" t="s">
        <v>712</v>
      </c>
      <c r="C103">
        <v>-96.731264999999993</v>
      </c>
      <c r="D103">
        <v>43.546022299999997</v>
      </c>
    </row>
    <row r="104" spans="1:4" x14ac:dyDescent="0.2">
      <c r="A104" t="s">
        <v>646</v>
      </c>
      <c r="B104" t="s">
        <v>621</v>
      </c>
      <c r="C104">
        <v>-83.9207392</v>
      </c>
      <c r="D104">
        <v>35.960638400000001</v>
      </c>
    </row>
    <row r="105" spans="1:4" x14ac:dyDescent="0.2">
      <c r="A105" t="s">
        <v>600</v>
      </c>
      <c r="B105" t="s">
        <v>621</v>
      </c>
      <c r="C105">
        <v>-90.048980099999994</v>
      </c>
      <c r="D105">
        <v>35.149534299999999</v>
      </c>
    </row>
    <row r="106" spans="1:4" x14ac:dyDescent="0.2">
      <c r="A106" t="s">
        <v>584</v>
      </c>
      <c r="B106" t="s">
        <v>621</v>
      </c>
      <c r="C106">
        <v>-86.781601600000002</v>
      </c>
      <c r="D106">
        <v>36.162663799999997</v>
      </c>
    </row>
    <row r="107" spans="1:4" x14ac:dyDescent="0.2">
      <c r="A107" t="s">
        <v>574</v>
      </c>
      <c r="B107" t="s">
        <v>607</v>
      </c>
      <c r="C107">
        <v>-97.743060799999995</v>
      </c>
      <c r="D107">
        <v>30.267153</v>
      </c>
    </row>
    <row r="108" spans="1:4" x14ac:dyDescent="0.2">
      <c r="A108" t="s">
        <v>553</v>
      </c>
      <c r="B108" t="s">
        <v>607</v>
      </c>
      <c r="C108">
        <v>-96.796987900000005</v>
      </c>
      <c r="D108">
        <v>32.776664199999999</v>
      </c>
    </row>
    <row r="109" spans="1:4" x14ac:dyDescent="0.2">
      <c r="A109" t="s">
        <v>656</v>
      </c>
      <c r="B109" t="s">
        <v>607</v>
      </c>
      <c r="C109">
        <v>-106.48861100000001</v>
      </c>
      <c r="D109">
        <v>31.759167000000001</v>
      </c>
    </row>
    <row r="110" spans="1:4" x14ac:dyDescent="0.2">
      <c r="A110" t="s">
        <v>554</v>
      </c>
      <c r="B110" t="s">
        <v>607</v>
      </c>
      <c r="C110">
        <v>-95.369802800000002</v>
      </c>
      <c r="D110">
        <v>29.7604267</v>
      </c>
    </row>
    <row r="111" spans="1:4" x14ac:dyDescent="0.2">
      <c r="A111" t="s">
        <v>573</v>
      </c>
      <c r="B111" t="s">
        <v>607</v>
      </c>
      <c r="C111">
        <v>-98.493628200000003</v>
      </c>
      <c r="D111">
        <v>29.424121899999999</v>
      </c>
    </row>
    <row r="112" spans="1:4" x14ac:dyDescent="0.2">
      <c r="A112" t="s">
        <v>668</v>
      </c>
      <c r="B112" t="s">
        <v>627</v>
      </c>
      <c r="C112">
        <v>-111.660833</v>
      </c>
      <c r="D112">
        <v>40.244444000000001</v>
      </c>
    </row>
    <row r="113" spans="1:4" x14ac:dyDescent="0.2">
      <c r="A113" t="s">
        <v>601</v>
      </c>
      <c r="B113" t="s">
        <v>627</v>
      </c>
      <c r="C113">
        <v>-111.89104740000001</v>
      </c>
      <c r="D113">
        <v>40.760779300000003</v>
      </c>
    </row>
    <row r="114" spans="1:4" x14ac:dyDescent="0.2">
      <c r="A114" t="s">
        <v>858</v>
      </c>
      <c r="B114" t="s">
        <v>622</v>
      </c>
      <c r="C114">
        <v>-78.476678100000001</v>
      </c>
      <c r="D114">
        <v>38.029305899999997</v>
      </c>
    </row>
    <row r="115" spans="1:4" x14ac:dyDescent="0.2">
      <c r="A115" t="s">
        <v>599</v>
      </c>
      <c r="B115" t="s">
        <v>622</v>
      </c>
      <c r="C115">
        <v>-77.436048099999994</v>
      </c>
      <c r="D115">
        <v>37.540724599999997</v>
      </c>
    </row>
    <row r="116" spans="1:4" x14ac:dyDescent="0.2">
      <c r="A116" t="s">
        <v>592</v>
      </c>
      <c r="B116" t="s">
        <v>622</v>
      </c>
      <c r="C116">
        <v>-76.285872600000005</v>
      </c>
      <c r="D116">
        <v>36.850768899999998</v>
      </c>
    </row>
    <row r="117" spans="1:4" x14ac:dyDescent="0.2">
      <c r="A117" t="s">
        <v>719</v>
      </c>
      <c r="B117" t="s">
        <v>718</v>
      </c>
      <c r="C117">
        <v>-73.212072000000006</v>
      </c>
      <c r="D117">
        <v>44.475882499999997</v>
      </c>
    </row>
    <row r="118" spans="1:4" x14ac:dyDescent="0.2">
      <c r="A118" t="s">
        <v>751</v>
      </c>
      <c r="B118" t="s">
        <v>718</v>
      </c>
      <c r="C118">
        <v>-72.575386899999998</v>
      </c>
      <c r="D118">
        <v>44.260059300000002</v>
      </c>
    </row>
    <row r="119" spans="1:4" x14ac:dyDescent="0.2">
      <c r="A119" t="s">
        <v>857</v>
      </c>
      <c r="B119" t="s">
        <v>611</v>
      </c>
      <c r="C119">
        <v>-122.744444</v>
      </c>
      <c r="D119">
        <v>47.538888999999998</v>
      </c>
    </row>
    <row r="120" spans="1:4" x14ac:dyDescent="0.2">
      <c r="A120" t="s">
        <v>714</v>
      </c>
      <c r="B120" t="s">
        <v>611</v>
      </c>
      <c r="C120">
        <v>-122.90069509999999</v>
      </c>
      <c r="D120">
        <v>47.037874100000003</v>
      </c>
    </row>
    <row r="121" spans="1:4" x14ac:dyDescent="0.2">
      <c r="A121" t="s">
        <v>970</v>
      </c>
      <c r="B121" t="s">
        <v>611</v>
      </c>
      <c r="C121">
        <v>-123.440833</v>
      </c>
      <c r="D121">
        <v>48.113056</v>
      </c>
    </row>
    <row r="122" spans="1:4" x14ac:dyDescent="0.2">
      <c r="A122" t="s">
        <v>564</v>
      </c>
      <c r="B122" t="s">
        <v>611</v>
      </c>
      <c r="C122">
        <v>-122.3320708</v>
      </c>
      <c r="D122">
        <v>47.606209499999999</v>
      </c>
    </row>
    <row r="123" spans="1:4" x14ac:dyDescent="0.2">
      <c r="A123" t="s">
        <v>673</v>
      </c>
      <c r="B123" t="s">
        <v>624</v>
      </c>
      <c r="C123">
        <v>-89.401230200000001</v>
      </c>
      <c r="D123">
        <v>43.073051700000001</v>
      </c>
    </row>
    <row r="124" spans="1:4" x14ac:dyDescent="0.2">
      <c r="A124" t="s">
        <v>595</v>
      </c>
      <c r="B124" t="s">
        <v>624</v>
      </c>
      <c r="C124">
        <v>-87.906473599999998</v>
      </c>
      <c r="D124">
        <v>43.038902499999999</v>
      </c>
    </row>
    <row r="125" spans="1:4" x14ac:dyDescent="0.2">
      <c r="A125" t="s">
        <v>721</v>
      </c>
      <c r="B125" t="s">
        <v>705</v>
      </c>
      <c r="C125">
        <v>-81.6326234</v>
      </c>
      <c r="D125">
        <v>38.349819500000002</v>
      </c>
    </row>
    <row r="126" spans="1:4" x14ac:dyDescent="0.2">
      <c r="A126" t="s">
        <v>706</v>
      </c>
      <c r="B126" t="s">
        <v>705</v>
      </c>
      <c r="C126">
        <v>-82.445153000000005</v>
      </c>
      <c r="D126">
        <v>38.419249999999998</v>
      </c>
    </row>
    <row r="127" spans="1:4" x14ac:dyDescent="0.2">
      <c r="A127" t="s">
        <v>897</v>
      </c>
      <c r="B127" t="s">
        <v>705</v>
      </c>
      <c r="C127">
        <v>-79.950556000000006</v>
      </c>
      <c r="D127">
        <v>39.633611000000002</v>
      </c>
    </row>
    <row r="128" spans="1:4" x14ac:dyDescent="0.2">
      <c r="A128" t="s">
        <v>869</v>
      </c>
      <c r="B128" t="s">
        <v>731</v>
      </c>
      <c r="C128">
        <v>-106.2980824</v>
      </c>
      <c r="D128">
        <v>42.848708999999999</v>
      </c>
    </row>
    <row r="129" spans="1:4" x14ac:dyDescent="0.2">
      <c r="A129" t="s">
        <v>732</v>
      </c>
      <c r="B129" t="s">
        <v>731</v>
      </c>
      <c r="C129">
        <v>-104.8202462</v>
      </c>
      <c r="D129">
        <v>41.139981400000003</v>
      </c>
    </row>
    <row r="131" spans="1:4" x14ac:dyDescent="0.2">
      <c r="C131" s="6"/>
    </row>
  </sheetData>
  <sortState xmlns:xlrd2="http://schemas.microsoft.com/office/spreadsheetml/2017/richdata2" ref="A2:D129">
    <sortCondition ref="B2:B129"/>
    <sortCondition ref="A2:A1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1180</v>
      </c>
      <c r="D1" s="2" t="s">
        <v>1181</v>
      </c>
    </row>
    <row r="2" spans="1:5" x14ac:dyDescent="0.2">
      <c r="A2" t="s">
        <v>1158</v>
      </c>
      <c r="B2" t="s">
        <v>1170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1157</v>
      </c>
      <c r="B3" t="s">
        <v>1169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1156</v>
      </c>
      <c r="B4" t="s">
        <v>1168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1154</v>
      </c>
      <c r="B5" t="s">
        <v>1182</v>
      </c>
      <c r="C5" s="19">
        <f>DATE(2021,8,31)</f>
        <v>44439</v>
      </c>
      <c r="D5" s="19">
        <f>DATE(2021,9,6)</f>
        <v>44445</v>
      </c>
    </row>
    <row r="6" spans="1:5" x14ac:dyDescent="0.2">
      <c r="A6" t="s">
        <v>1153</v>
      </c>
      <c r="B6" t="s">
        <v>1166</v>
      </c>
      <c r="C6" s="18">
        <f>DATE(2021,10,18)</f>
        <v>44487</v>
      </c>
      <c r="D6" s="18">
        <f>DATE(2021,10,31)</f>
        <v>44500</v>
      </c>
    </row>
    <row r="7" spans="1:5" x14ac:dyDescent="0.2">
      <c r="A7" t="s">
        <v>1155</v>
      </c>
      <c r="B7" t="s">
        <v>1167</v>
      </c>
      <c r="C7" s="18">
        <f>DATE(2021,5,10)</f>
        <v>44326</v>
      </c>
      <c r="D7" s="18">
        <f>DATE(2021,5,21)</f>
        <v>44337</v>
      </c>
      <c r="E7" s="4"/>
    </row>
    <row r="8" spans="1:5" x14ac:dyDescent="0.2">
      <c r="A8" t="s">
        <v>1152</v>
      </c>
      <c r="B8" t="s">
        <v>1165</v>
      </c>
      <c r="C8" s="4">
        <f>DATE(2021,6,7)</f>
        <v>44354</v>
      </c>
      <c r="D8" s="4">
        <f>DATE(2021,6,19)</f>
        <v>44366</v>
      </c>
      <c r="E8" s="4"/>
    </row>
    <row r="9" spans="1:5" x14ac:dyDescent="0.2">
      <c r="A9" t="s">
        <v>1178</v>
      </c>
      <c r="B9" t="s">
        <v>1179</v>
      </c>
      <c r="C9" s="4">
        <f>DATE(2021,10,9)</f>
        <v>44478</v>
      </c>
      <c r="D9" s="4">
        <f>DATE(2021,10,11)</f>
        <v>44480</v>
      </c>
    </row>
    <row r="10" spans="1:5" x14ac:dyDescent="0.2">
      <c r="A10" t="s">
        <v>1151</v>
      </c>
      <c r="B10" t="s">
        <v>1164</v>
      </c>
      <c r="C10" s="18">
        <f>DATE(2022,8,21)</f>
        <v>44794</v>
      </c>
      <c r="D10" s="18">
        <f>DATE(2022,9,1)</f>
        <v>44805</v>
      </c>
    </row>
    <row r="11" spans="1:5" x14ac:dyDescent="0.2">
      <c r="A11" t="s">
        <v>1150</v>
      </c>
      <c r="B11" t="s">
        <v>1163</v>
      </c>
      <c r="C11" s="4">
        <f>DATE(2022,9,24)</f>
        <v>44828</v>
      </c>
      <c r="D11" s="4">
        <f>DATE(2022,9,26)</f>
        <v>44830</v>
      </c>
    </row>
    <row r="12" spans="1:5" x14ac:dyDescent="0.2">
      <c r="A12" t="s">
        <v>1148</v>
      </c>
      <c r="B12" t="s">
        <v>1161</v>
      </c>
      <c r="C12" s="4">
        <f>DATE(2023,8,25)</f>
        <v>45163</v>
      </c>
      <c r="D12" s="4">
        <f>DATE(2023,8,28)</f>
        <v>45166</v>
      </c>
    </row>
    <row r="13" spans="1:5" x14ac:dyDescent="0.2">
      <c r="A13" t="s">
        <v>1147</v>
      </c>
      <c r="B13" t="s">
        <v>1160</v>
      </c>
      <c r="C13" s="18">
        <f>DATE(2023,12,14)</f>
        <v>45274</v>
      </c>
      <c r="D13" s="18">
        <f>DATE(2023,12,24)</f>
        <v>45284</v>
      </c>
    </row>
    <row r="14" spans="1:5" x14ac:dyDescent="0.2">
      <c r="A14" t="s">
        <v>1149</v>
      </c>
      <c r="B14" t="s">
        <v>1162</v>
      </c>
      <c r="C14" s="18">
        <f>DATE(2023,5,12)</f>
        <v>45058</v>
      </c>
      <c r="D14" s="18">
        <f>DATE(2023,5,20)</f>
        <v>45066</v>
      </c>
    </row>
    <row r="15" spans="1:5" x14ac:dyDescent="0.2">
      <c r="A15" t="s">
        <v>1146</v>
      </c>
      <c r="B15" t="s">
        <v>1159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1139</v>
      </c>
      <c r="B1" t="s">
        <v>1192</v>
      </c>
      <c r="C1" t="s">
        <v>1190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</row>
    <row r="2" spans="1:8" x14ac:dyDescent="0.2">
      <c r="A2" t="s">
        <v>1146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1146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1146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1146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1146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1146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1146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1146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1146</v>
      </c>
      <c r="B10" t="str">
        <f t="shared" si="0"/>
        <v>2024-High-Plains-09</v>
      </c>
      <c r="C10">
        <v>9</v>
      </c>
      <c r="D10" t="s">
        <v>728</v>
      </c>
      <c r="E10" s="16"/>
      <c r="F10">
        <v>-103.429874</v>
      </c>
      <c r="G10">
        <v>46.933005000000001</v>
      </c>
      <c r="H10" t="s">
        <v>1176</v>
      </c>
    </row>
    <row r="11" spans="1:8" x14ac:dyDescent="0.2">
      <c r="A11" t="s">
        <v>1146</v>
      </c>
      <c r="B11" t="str">
        <f t="shared" si="0"/>
        <v>2024-High-Plains-10</v>
      </c>
      <c r="C11">
        <v>10</v>
      </c>
      <c r="D11" s="16"/>
      <c r="E11" t="s">
        <v>859</v>
      </c>
    </row>
    <row r="12" spans="1:8" x14ac:dyDescent="0.2">
      <c r="A12" t="s">
        <v>1146</v>
      </c>
      <c r="B12" t="str">
        <f t="shared" si="0"/>
        <v>2024-High-Plains-11</v>
      </c>
      <c r="C12">
        <v>11</v>
      </c>
      <c r="D12" t="s">
        <v>859</v>
      </c>
      <c r="E12" t="s">
        <v>748</v>
      </c>
    </row>
    <row r="13" spans="1:8" x14ac:dyDescent="0.2">
      <c r="A13" t="s">
        <v>1146</v>
      </c>
      <c r="B13" t="str">
        <f t="shared" si="0"/>
        <v>2024-High-Plains-12</v>
      </c>
      <c r="C13">
        <v>12</v>
      </c>
      <c r="D13" t="s">
        <v>748</v>
      </c>
      <c r="E13" t="s">
        <v>713</v>
      </c>
    </row>
    <row r="14" spans="1:8" x14ac:dyDescent="0.2">
      <c r="A14" t="s">
        <v>1146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1146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1146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1146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1146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1146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1147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1147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1147</v>
      </c>
      <c r="B22" t="str">
        <f t="shared" si="0"/>
        <v>2023-Florida-03</v>
      </c>
      <c r="C22">
        <v>3</v>
      </c>
      <c r="D22" t="s">
        <v>596</v>
      </c>
      <c r="E22" s="15" t="s">
        <v>657</v>
      </c>
    </row>
    <row r="23" spans="1:5" x14ac:dyDescent="0.2">
      <c r="A23" t="s">
        <v>1147</v>
      </c>
      <c r="B23" t="str">
        <f t="shared" si="0"/>
        <v>2023-Florida-04</v>
      </c>
      <c r="C23">
        <v>4</v>
      </c>
      <c r="D23" s="15" t="s">
        <v>657</v>
      </c>
      <c r="E23" t="s">
        <v>865</v>
      </c>
    </row>
    <row r="24" spans="1:5" x14ac:dyDescent="0.2">
      <c r="A24" t="s">
        <v>1147</v>
      </c>
      <c r="B24" t="str">
        <f t="shared" si="0"/>
        <v>2023-Florida-05</v>
      </c>
      <c r="C24">
        <v>5</v>
      </c>
      <c r="D24" t="s">
        <v>865</v>
      </c>
      <c r="E24" t="s">
        <v>593</v>
      </c>
    </row>
    <row r="25" spans="1:5" x14ac:dyDescent="0.2">
      <c r="A25" t="s">
        <v>1147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1147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1147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1147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1147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1147</v>
      </c>
      <c r="B30" t="str">
        <f t="shared" si="0"/>
        <v>2023-Florida-11</v>
      </c>
      <c r="C30">
        <v>11</v>
      </c>
      <c r="D30" t="s">
        <v>593</v>
      </c>
      <c r="E30" t="s">
        <v>865</v>
      </c>
    </row>
    <row r="31" spans="1:5" x14ac:dyDescent="0.2">
      <c r="A31" t="s">
        <v>1147</v>
      </c>
      <c r="B31" t="str">
        <f t="shared" si="0"/>
        <v>2023-Florida-12</v>
      </c>
      <c r="C31">
        <v>12</v>
      </c>
      <c r="D31" t="s">
        <v>865</v>
      </c>
      <c r="E31" t="s">
        <v>596</v>
      </c>
    </row>
    <row r="32" spans="1:5" x14ac:dyDescent="0.2">
      <c r="A32" t="s">
        <v>1147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1147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1148</v>
      </c>
      <c r="B34" t="str">
        <f t="shared" si="0"/>
        <v>2023-DelMarVa-01</v>
      </c>
      <c r="C34">
        <v>1</v>
      </c>
      <c r="D34" t="s">
        <v>556</v>
      </c>
      <c r="E34" t="s">
        <v>743</v>
      </c>
    </row>
    <row r="35" spans="1:8" x14ac:dyDescent="0.2">
      <c r="A35" t="s">
        <v>1148</v>
      </c>
      <c r="B35" t="str">
        <f t="shared" si="0"/>
        <v>2023-DelMarVa-02</v>
      </c>
      <c r="C35">
        <v>2</v>
      </c>
      <c r="D35" t="s">
        <v>743</v>
      </c>
      <c r="E35" t="s">
        <v>723</v>
      </c>
    </row>
    <row r="36" spans="1:8" x14ac:dyDescent="0.2">
      <c r="A36" t="s">
        <v>1148</v>
      </c>
      <c r="B36" t="str">
        <f t="shared" si="0"/>
        <v>2023-DelMarVa-03</v>
      </c>
      <c r="C36">
        <v>3</v>
      </c>
      <c r="D36" t="s">
        <v>723</v>
      </c>
      <c r="E36" s="16"/>
      <c r="F36">
        <v>-75.036437000000006</v>
      </c>
      <c r="G36">
        <v>38.333578000000003</v>
      </c>
      <c r="H36" t="s">
        <v>1177</v>
      </c>
    </row>
    <row r="37" spans="1:8" x14ac:dyDescent="0.2">
      <c r="A37" t="s">
        <v>1148</v>
      </c>
      <c r="B37" t="str">
        <f t="shared" si="0"/>
        <v>2023-DelMarVa-04</v>
      </c>
      <c r="C37">
        <v>4</v>
      </c>
      <c r="D37" s="16"/>
      <c r="E37" t="s">
        <v>743</v>
      </c>
    </row>
    <row r="38" spans="1:8" x14ac:dyDescent="0.2">
      <c r="A38" t="s">
        <v>1148</v>
      </c>
      <c r="B38" t="str">
        <f t="shared" si="0"/>
        <v>2023-DelMarVa-05</v>
      </c>
      <c r="C38">
        <v>5</v>
      </c>
      <c r="D38" t="s">
        <v>743</v>
      </c>
      <c r="E38" t="s">
        <v>556</v>
      </c>
    </row>
    <row r="39" spans="1:8" x14ac:dyDescent="0.2">
      <c r="A39" t="s">
        <v>1149</v>
      </c>
      <c r="B39" t="str">
        <f t="shared" si="0"/>
        <v>2023-Southeast-01</v>
      </c>
      <c r="C39">
        <v>1</v>
      </c>
      <c r="D39" t="s">
        <v>556</v>
      </c>
      <c r="E39" s="15" t="s">
        <v>858</v>
      </c>
    </row>
    <row r="40" spans="1:8" x14ac:dyDescent="0.2">
      <c r="A40" t="s">
        <v>1149</v>
      </c>
      <c r="B40" t="str">
        <f t="shared" si="0"/>
        <v>2023-Southeast-02</v>
      </c>
      <c r="C40">
        <v>2</v>
      </c>
      <c r="D40" s="15" t="s">
        <v>858</v>
      </c>
      <c r="E40" t="s">
        <v>646</v>
      </c>
    </row>
    <row r="41" spans="1:8" x14ac:dyDescent="0.2">
      <c r="A41" t="s">
        <v>1149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1149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1149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1149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1149</v>
      </c>
      <c r="B45" t="str">
        <f t="shared" si="0"/>
        <v>2023-Southeast-07</v>
      </c>
      <c r="C45">
        <v>7</v>
      </c>
      <c r="D45" t="s">
        <v>557</v>
      </c>
      <c r="E45" t="s">
        <v>865</v>
      </c>
    </row>
    <row r="46" spans="1:8" x14ac:dyDescent="0.2">
      <c r="A46" t="s">
        <v>1149</v>
      </c>
      <c r="B46" t="str">
        <f t="shared" si="0"/>
        <v>2023-Southeast-08</v>
      </c>
      <c r="C46">
        <v>8</v>
      </c>
      <c r="D46" t="s">
        <v>865</v>
      </c>
      <c r="E46" t="s">
        <v>658</v>
      </c>
    </row>
    <row r="47" spans="1:8" x14ac:dyDescent="0.2">
      <c r="A47" t="s">
        <v>1149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1149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1149</v>
      </c>
      <c r="B49" t="str">
        <f t="shared" si="0"/>
        <v>2023-Southeast-11</v>
      </c>
      <c r="C49">
        <v>11</v>
      </c>
      <c r="D49" t="s">
        <v>570</v>
      </c>
      <c r="E49" s="15" t="s">
        <v>596</v>
      </c>
    </row>
    <row r="50" spans="1:8" x14ac:dyDescent="0.2">
      <c r="A50" t="s">
        <v>1149</v>
      </c>
      <c r="B50" t="str">
        <f t="shared" si="0"/>
        <v>2023-Southeast-12</v>
      </c>
      <c r="C50">
        <v>12</v>
      </c>
      <c r="D50" s="15" t="s">
        <v>596</v>
      </c>
      <c r="E50" t="s">
        <v>592</v>
      </c>
    </row>
    <row r="51" spans="1:8" x14ac:dyDescent="0.2">
      <c r="A51" t="s">
        <v>1149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1149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1150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1150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1151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1151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1151</v>
      </c>
      <c r="B57" t="str">
        <f t="shared" si="0"/>
        <v>2022-Lake-Michigan-03</v>
      </c>
      <c r="C57">
        <v>3</v>
      </c>
      <c r="D57" t="s">
        <v>583</v>
      </c>
      <c r="E57" t="s">
        <v>745</v>
      </c>
    </row>
    <row r="58" spans="1:8" x14ac:dyDescent="0.2">
      <c r="A58" t="s">
        <v>1151</v>
      </c>
      <c r="B58" t="str">
        <f t="shared" si="0"/>
        <v>2022-Lake-Michigan-04</v>
      </c>
      <c r="C58">
        <v>4</v>
      </c>
      <c r="D58" t="s">
        <v>745</v>
      </c>
      <c r="E58" t="s">
        <v>630</v>
      </c>
    </row>
    <row r="59" spans="1:8" x14ac:dyDescent="0.2">
      <c r="A59" t="s">
        <v>1151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1151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1151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1151</v>
      </c>
      <c r="B62" t="str">
        <f t="shared" si="0"/>
        <v>2022-Lake-Michigan-08</v>
      </c>
      <c r="C62">
        <v>8</v>
      </c>
      <c r="D62" t="s">
        <v>595</v>
      </c>
      <c r="E62" s="16"/>
      <c r="F62">
        <v>-86.654329000000004</v>
      </c>
      <c r="G62">
        <v>46.412545000000001</v>
      </c>
      <c r="H62" t="s">
        <v>1175</v>
      </c>
    </row>
    <row r="63" spans="1:8" x14ac:dyDescent="0.2">
      <c r="A63" t="s">
        <v>1151</v>
      </c>
      <c r="B63" t="str">
        <f t="shared" si="0"/>
        <v>2022-Lake-Michigan-09</v>
      </c>
      <c r="C63">
        <v>9</v>
      </c>
      <c r="D63" s="16"/>
      <c r="E63" t="s">
        <v>563</v>
      </c>
    </row>
    <row r="64" spans="1:8" x14ac:dyDescent="0.2">
      <c r="A64" t="s">
        <v>1151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1151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1151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1152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1152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1152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1153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1153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1153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1153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1153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1153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1153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1153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1153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1153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1153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1153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1153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1153</v>
      </c>
      <c r="B83" t="str">
        <f t="shared" si="1"/>
        <v>2021-Lower-Midwest-14</v>
      </c>
      <c r="C83">
        <v>14</v>
      </c>
      <c r="D83" t="s">
        <v>598</v>
      </c>
      <c r="E83" t="s">
        <v>739</v>
      </c>
    </row>
    <row r="84" spans="1:5" x14ac:dyDescent="0.2">
      <c r="A84" t="s">
        <v>1153</v>
      </c>
      <c r="B84" t="str">
        <f t="shared" si="1"/>
        <v>2021-Lower-Midwest-15</v>
      </c>
      <c r="C84">
        <v>15</v>
      </c>
      <c r="D84" t="s">
        <v>739</v>
      </c>
      <c r="E84" t="s">
        <v>706</v>
      </c>
    </row>
    <row r="85" spans="1:5" x14ac:dyDescent="0.2">
      <c r="A85" t="s">
        <v>1153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1153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1153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1154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1154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1154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1154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1154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1154</v>
      </c>
      <c r="B93" t="str">
        <f t="shared" si="1"/>
        <v>2021-Camp-Wedding-06</v>
      </c>
      <c r="C93">
        <v>6</v>
      </c>
      <c r="D93" t="s">
        <v>560</v>
      </c>
      <c r="E93" t="s">
        <v>746</v>
      </c>
    </row>
    <row r="94" spans="1:5" x14ac:dyDescent="0.2">
      <c r="A94" t="s">
        <v>1154</v>
      </c>
      <c r="B94" t="str">
        <f t="shared" si="1"/>
        <v>2021-Camp-Wedding-07</v>
      </c>
      <c r="C94">
        <v>7</v>
      </c>
      <c r="D94" t="s">
        <v>746</v>
      </c>
      <c r="E94" t="s">
        <v>560</v>
      </c>
    </row>
    <row r="95" spans="1:5" x14ac:dyDescent="0.2">
      <c r="A95" t="s">
        <v>1154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1154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1154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1154</v>
      </c>
      <c r="B98" t="str">
        <f t="shared" si="1"/>
        <v>2021-Camp-Wedding-11</v>
      </c>
      <c r="C98">
        <v>11</v>
      </c>
      <c r="D98" t="s">
        <v>558</v>
      </c>
      <c r="E98" t="s">
        <v>1172</v>
      </c>
    </row>
    <row r="99" spans="1:5" x14ac:dyDescent="0.2">
      <c r="A99" t="s">
        <v>1154</v>
      </c>
      <c r="B99" t="str">
        <f t="shared" si="1"/>
        <v>2021-Camp-Wedding-12</v>
      </c>
      <c r="C99">
        <v>12</v>
      </c>
      <c r="D99" t="s">
        <v>1172</v>
      </c>
      <c r="E99" t="s">
        <v>558</v>
      </c>
    </row>
    <row r="100" spans="1:5" x14ac:dyDescent="0.2">
      <c r="A100" t="s">
        <v>1154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1154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1139</v>
      </c>
      <c r="B1" t="s">
        <v>549</v>
      </c>
      <c r="C1" t="s">
        <v>1191</v>
      </c>
    </row>
    <row r="2" spans="1:3" s="21" customFormat="1" x14ac:dyDescent="0.2">
      <c r="A2" s="21" t="s">
        <v>1158</v>
      </c>
      <c r="B2" s="21" t="s">
        <v>681</v>
      </c>
      <c r="C2" s="21">
        <f>INT(NOT(A2=A1))</f>
        <v>1</v>
      </c>
    </row>
    <row r="3" spans="1:3" x14ac:dyDescent="0.2">
      <c r="A3" t="s">
        <v>1158</v>
      </c>
      <c r="B3" t="s">
        <v>648</v>
      </c>
      <c r="C3">
        <f t="shared" ref="C3:C66" si="0">INT(NOT(A3=A2))</f>
        <v>0</v>
      </c>
    </row>
    <row r="4" spans="1:3" x14ac:dyDescent="0.2">
      <c r="A4" t="s">
        <v>1158</v>
      </c>
      <c r="B4" t="s">
        <v>557</v>
      </c>
      <c r="C4">
        <f t="shared" si="0"/>
        <v>0</v>
      </c>
    </row>
    <row r="5" spans="1:3" x14ac:dyDescent="0.2">
      <c r="A5" t="s">
        <v>1158</v>
      </c>
      <c r="B5" t="s">
        <v>553</v>
      </c>
      <c r="C5">
        <f t="shared" si="0"/>
        <v>0</v>
      </c>
    </row>
    <row r="6" spans="1:3" x14ac:dyDescent="0.2">
      <c r="A6" t="s">
        <v>1158</v>
      </c>
      <c r="B6" t="s">
        <v>683</v>
      </c>
      <c r="C6">
        <f t="shared" si="0"/>
        <v>0</v>
      </c>
    </row>
    <row r="7" spans="1:3" x14ac:dyDescent="0.2">
      <c r="A7" t="s">
        <v>1158</v>
      </c>
      <c r="B7" s="4" t="s">
        <v>551</v>
      </c>
      <c r="C7">
        <f t="shared" si="0"/>
        <v>0</v>
      </c>
    </row>
    <row r="8" spans="1:3" s="21" customFormat="1" x14ac:dyDescent="0.2">
      <c r="A8" s="21" t="s">
        <v>1157</v>
      </c>
      <c r="B8" s="17" t="s">
        <v>551</v>
      </c>
      <c r="C8" s="21">
        <f t="shared" si="0"/>
        <v>1</v>
      </c>
    </row>
    <row r="9" spans="1:3" x14ac:dyDescent="0.2">
      <c r="A9" t="s">
        <v>1157</v>
      </c>
      <c r="B9" t="s">
        <v>861</v>
      </c>
      <c r="C9">
        <f t="shared" si="0"/>
        <v>0</v>
      </c>
    </row>
    <row r="10" spans="1:3" x14ac:dyDescent="0.2">
      <c r="A10" t="s">
        <v>1157</v>
      </c>
      <c r="B10" t="s">
        <v>575</v>
      </c>
      <c r="C10">
        <f t="shared" si="0"/>
        <v>0</v>
      </c>
    </row>
    <row r="11" spans="1:3" x14ac:dyDescent="0.2">
      <c r="A11" t="s">
        <v>1157</v>
      </c>
      <c r="B11" t="s">
        <v>576</v>
      </c>
      <c r="C11">
        <f t="shared" si="0"/>
        <v>0</v>
      </c>
    </row>
    <row r="12" spans="1:3" x14ac:dyDescent="0.2">
      <c r="A12" t="s">
        <v>1157</v>
      </c>
      <c r="B12" t="s">
        <v>564</v>
      </c>
      <c r="C12">
        <f t="shared" si="0"/>
        <v>0</v>
      </c>
    </row>
    <row r="13" spans="1:3" s="21" customFormat="1" x14ac:dyDescent="0.2">
      <c r="A13" s="21" t="s">
        <v>1156</v>
      </c>
      <c r="B13" s="21" t="s">
        <v>551</v>
      </c>
      <c r="C13" s="21">
        <f t="shared" si="0"/>
        <v>1</v>
      </c>
    </row>
    <row r="14" spans="1:3" x14ac:dyDescent="0.2">
      <c r="A14" t="s">
        <v>1156</v>
      </c>
      <c r="B14" t="s">
        <v>574</v>
      </c>
      <c r="C14">
        <f t="shared" si="0"/>
        <v>0</v>
      </c>
    </row>
    <row r="15" spans="1:3" x14ac:dyDescent="0.2">
      <c r="A15" t="s">
        <v>1156</v>
      </c>
      <c r="B15" t="s">
        <v>681</v>
      </c>
      <c r="C15">
        <f t="shared" si="0"/>
        <v>0</v>
      </c>
    </row>
    <row r="16" spans="1:3" x14ac:dyDescent="0.2">
      <c r="A16" t="s">
        <v>1156</v>
      </c>
      <c r="B16" t="s">
        <v>656</v>
      </c>
      <c r="C16">
        <f t="shared" si="0"/>
        <v>0</v>
      </c>
    </row>
    <row r="17" spans="1:3" x14ac:dyDescent="0.2">
      <c r="A17" t="s">
        <v>1156</v>
      </c>
      <c r="B17" t="s">
        <v>554</v>
      </c>
      <c r="C17">
        <f t="shared" si="0"/>
        <v>0</v>
      </c>
    </row>
    <row r="18" spans="1:3" x14ac:dyDescent="0.2">
      <c r="A18" t="s">
        <v>1156</v>
      </c>
      <c r="B18" t="s">
        <v>644</v>
      </c>
      <c r="C18">
        <f t="shared" si="0"/>
        <v>0</v>
      </c>
    </row>
    <row r="19" spans="1:3" x14ac:dyDescent="0.2">
      <c r="A19" t="s">
        <v>1156</v>
      </c>
      <c r="B19" t="s">
        <v>559</v>
      </c>
      <c r="C19">
        <f t="shared" si="0"/>
        <v>0</v>
      </c>
    </row>
    <row r="20" spans="1:3" x14ac:dyDescent="0.2">
      <c r="A20" t="s">
        <v>1156</v>
      </c>
      <c r="B20" t="s">
        <v>599</v>
      </c>
      <c r="C20">
        <f t="shared" si="0"/>
        <v>0</v>
      </c>
    </row>
    <row r="21" spans="1:3" x14ac:dyDescent="0.2">
      <c r="A21" t="s">
        <v>1156</v>
      </c>
      <c r="B21" t="s">
        <v>573</v>
      </c>
      <c r="C21">
        <f t="shared" si="0"/>
        <v>0</v>
      </c>
    </row>
    <row r="22" spans="1:3" x14ac:dyDescent="0.2">
      <c r="A22" t="s">
        <v>1156</v>
      </c>
      <c r="B22" t="s">
        <v>865</v>
      </c>
      <c r="C22">
        <f t="shared" si="0"/>
        <v>0</v>
      </c>
    </row>
    <row r="23" spans="1:3" x14ac:dyDescent="0.2">
      <c r="A23" t="s">
        <v>1156</v>
      </c>
      <c r="B23" t="s">
        <v>709</v>
      </c>
      <c r="C23">
        <f t="shared" si="0"/>
        <v>0</v>
      </c>
    </row>
    <row r="24" spans="1:3" s="21" customFormat="1" x14ac:dyDescent="0.2">
      <c r="A24" s="21" t="s">
        <v>1154</v>
      </c>
      <c r="B24" s="21" t="s">
        <v>556</v>
      </c>
      <c r="C24" s="21">
        <f t="shared" si="0"/>
        <v>1</v>
      </c>
    </row>
    <row r="25" spans="1:3" x14ac:dyDescent="0.2">
      <c r="A25" s="2" t="s">
        <v>1154</v>
      </c>
      <c r="B25" t="s">
        <v>560</v>
      </c>
      <c r="C25">
        <f t="shared" si="0"/>
        <v>0</v>
      </c>
    </row>
    <row r="26" spans="1:3" x14ac:dyDescent="0.2">
      <c r="A26" s="2" t="s">
        <v>1154</v>
      </c>
      <c r="B26" t="s">
        <v>746</v>
      </c>
      <c r="C26">
        <f t="shared" si="0"/>
        <v>0</v>
      </c>
    </row>
    <row r="27" spans="1:3" x14ac:dyDescent="0.2">
      <c r="A27" s="2" t="s">
        <v>1154</v>
      </c>
      <c r="B27" t="s">
        <v>631</v>
      </c>
      <c r="C27">
        <f t="shared" si="0"/>
        <v>0</v>
      </c>
    </row>
    <row r="28" spans="1:3" x14ac:dyDescent="0.2">
      <c r="A28" s="2" t="s">
        <v>1154</v>
      </c>
      <c r="B28" t="s">
        <v>1172</v>
      </c>
      <c r="C28">
        <f t="shared" si="0"/>
        <v>0</v>
      </c>
    </row>
    <row r="29" spans="1:3" s="21" customFormat="1" x14ac:dyDescent="0.2">
      <c r="A29" s="21" t="s">
        <v>1153</v>
      </c>
      <c r="B29" s="21" t="s">
        <v>556</v>
      </c>
      <c r="C29" s="21">
        <f t="shared" si="0"/>
        <v>1</v>
      </c>
    </row>
    <row r="30" spans="1:3" x14ac:dyDescent="0.2">
      <c r="A30" s="2" t="s">
        <v>1153</v>
      </c>
      <c r="B30" t="s">
        <v>721</v>
      </c>
      <c r="C30">
        <f t="shared" si="0"/>
        <v>0</v>
      </c>
    </row>
    <row r="31" spans="1:3" x14ac:dyDescent="0.2">
      <c r="A31" s="2" t="s">
        <v>1153</v>
      </c>
      <c r="B31" t="s">
        <v>579</v>
      </c>
      <c r="C31">
        <f t="shared" si="0"/>
        <v>0</v>
      </c>
    </row>
    <row r="32" spans="1:3" x14ac:dyDescent="0.2">
      <c r="A32" s="2" t="s">
        <v>1153</v>
      </c>
      <c r="B32" t="s">
        <v>1102</v>
      </c>
      <c r="C32">
        <f t="shared" si="0"/>
        <v>0</v>
      </c>
    </row>
    <row r="33" spans="1:3" x14ac:dyDescent="0.2">
      <c r="A33" s="2" t="s">
        <v>1153</v>
      </c>
      <c r="B33" t="s">
        <v>581</v>
      </c>
      <c r="C33">
        <f t="shared" si="0"/>
        <v>0</v>
      </c>
    </row>
    <row r="34" spans="1:3" x14ac:dyDescent="0.2">
      <c r="A34" s="2" t="s">
        <v>1153</v>
      </c>
      <c r="B34" t="s">
        <v>669</v>
      </c>
      <c r="C34">
        <f t="shared" si="0"/>
        <v>0</v>
      </c>
    </row>
    <row r="35" spans="1:3" x14ac:dyDescent="0.2">
      <c r="A35" s="2" t="s">
        <v>1153</v>
      </c>
      <c r="B35" t="s">
        <v>739</v>
      </c>
      <c r="C35">
        <f t="shared" si="0"/>
        <v>0</v>
      </c>
    </row>
    <row r="36" spans="1:3" x14ac:dyDescent="0.2">
      <c r="A36" s="2" t="s">
        <v>1153</v>
      </c>
      <c r="B36" t="s">
        <v>582</v>
      </c>
      <c r="C36">
        <f t="shared" si="0"/>
        <v>0</v>
      </c>
    </row>
    <row r="37" spans="1:3" x14ac:dyDescent="0.2">
      <c r="A37" s="2" t="s">
        <v>1153</v>
      </c>
      <c r="B37" t="s">
        <v>727</v>
      </c>
      <c r="C37">
        <f t="shared" si="0"/>
        <v>0</v>
      </c>
    </row>
    <row r="38" spans="1:3" x14ac:dyDescent="0.2">
      <c r="A38" s="2" t="s">
        <v>1153</v>
      </c>
      <c r="B38" t="s">
        <v>580</v>
      </c>
      <c r="C38">
        <f t="shared" si="0"/>
        <v>0</v>
      </c>
    </row>
    <row r="39" spans="1:3" x14ac:dyDescent="0.2">
      <c r="A39" s="2" t="s">
        <v>1153</v>
      </c>
      <c r="B39" t="s">
        <v>707</v>
      </c>
      <c r="C39">
        <f t="shared" si="0"/>
        <v>0</v>
      </c>
    </row>
    <row r="40" spans="1:3" x14ac:dyDescent="0.2">
      <c r="A40" s="2" t="s">
        <v>1153</v>
      </c>
      <c r="B40" t="s">
        <v>598</v>
      </c>
      <c r="C40">
        <f t="shared" si="0"/>
        <v>0</v>
      </c>
    </row>
    <row r="41" spans="1:3" x14ac:dyDescent="0.2">
      <c r="A41" s="2" t="s">
        <v>1153</v>
      </c>
      <c r="B41" t="s">
        <v>897</v>
      </c>
      <c r="C41">
        <f t="shared" si="0"/>
        <v>0</v>
      </c>
    </row>
    <row r="42" spans="1:3" x14ac:dyDescent="0.2">
      <c r="A42" s="2" t="s">
        <v>1153</v>
      </c>
      <c r="B42" t="s">
        <v>637</v>
      </c>
      <c r="C42">
        <f t="shared" si="0"/>
        <v>0</v>
      </c>
    </row>
    <row r="43" spans="1:3" x14ac:dyDescent="0.2">
      <c r="A43" s="2" t="s">
        <v>1153</v>
      </c>
      <c r="B43" t="s">
        <v>720</v>
      </c>
      <c r="C43">
        <f t="shared" si="0"/>
        <v>0</v>
      </c>
    </row>
    <row r="44" spans="1:3" x14ac:dyDescent="0.2">
      <c r="A44" s="2" t="s">
        <v>1153</v>
      </c>
      <c r="B44" t="s">
        <v>572</v>
      </c>
      <c r="C44">
        <f t="shared" si="0"/>
        <v>0</v>
      </c>
    </row>
    <row r="45" spans="1:3" x14ac:dyDescent="0.2">
      <c r="A45" s="2" t="s">
        <v>1153</v>
      </c>
      <c r="B45" t="s">
        <v>717</v>
      </c>
      <c r="C45">
        <f t="shared" si="0"/>
        <v>0</v>
      </c>
    </row>
    <row r="46" spans="1:3" s="21" customFormat="1" x14ac:dyDescent="0.2">
      <c r="A46" s="21" t="s">
        <v>1155</v>
      </c>
      <c r="B46" s="21" t="s">
        <v>556</v>
      </c>
      <c r="C46" s="21">
        <f t="shared" si="0"/>
        <v>1</v>
      </c>
    </row>
    <row r="47" spans="1:3" x14ac:dyDescent="0.2">
      <c r="A47" s="2" t="s">
        <v>1155</v>
      </c>
      <c r="B47" t="s">
        <v>652</v>
      </c>
      <c r="C47">
        <f t="shared" si="0"/>
        <v>0</v>
      </c>
    </row>
    <row r="48" spans="1:3" x14ac:dyDescent="0.2">
      <c r="A48" s="2" t="s">
        <v>1155</v>
      </c>
      <c r="B48" t="s">
        <v>879</v>
      </c>
      <c r="C48">
        <f t="shared" si="0"/>
        <v>0</v>
      </c>
    </row>
    <row r="49" spans="1:3" x14ac:dyDescent="0.2">
      <c r="A49" s="2" t="s">
        <v>1155</v>
      </c>
      <c r="B49" t="s">
        <v>560</v>
      </c>
      <c r="C49">
        <f t="shared" si="0"/>
        <v>0</v>
      </c>
    </row>
    <row r="50" spans="1:3" x14ac:dyDescent="0.2">
      <c r="A50" s="2" t="s">
        <v>1155</v>
      </c>
      <c r="B50" t="s">
        <v>633</v>
      </c>
      <c r="C50">
        <f t="shared" si="0"/>
        <v>0</v>
      </c>
    </row>
    <row r="51" spans="1:3" x14ac:dyDescent="0.2">
      <c r="A51" s="2" t="s">
        <v>1155</v>
      </c>
      <c r="B51" t="s">
        <v>719</v>
      </c>
      <c r="C51">
        <f t="shared" si="0"/>
        <v>0</v>
      </c>
    </row>
    <row r="52" spans="1:3" x14ac:dyDescent="0.2">
      <c r="A52" s="2" t="s">
        <v>1155</v>
      </c>
      <c r="B52" t="s">
        <v>682</v>
      </c>
      <c r="C52">
        <f t="shared" si="0"/>
        <v>0</v>
      </c>
    </row>
    <row r="53" spans="1:3" x14ac:dyDescent="0.2">
      <c r="A53" s="2" t="s">
        <v>1155</v>
      </c>
      <c r="B53" t="s">
        <v>700</v>
      </c>
      <c r="C53">
        <f t="shared" si="0"/>
        <v>0</v>
      </c>
    </row>
    <row r="54" spans="1:3" x14ac:dyDescent="0.2">
      <c r="A54" s="2" t="s">
        <v>1155</v>
      </c>
      <c r="B54" t="s">
        <v>751</v>
      </c>
      <c r="C54">
        <f t="shared" si="0"/>
        <v>0</v>
      </c>
    </row>
    <row r="55" spans="1:3" x14ac:dyDescent="0.2">
      <c r="A55" s="2" t="s">
        <v>1155</v>
      </c>
      <c r="B55" t="s">
        <v>689</v>
      </c>
      <c r="C55">
        <f t="shared" si="0"/>
        <v>0</v>
      </c>
    </row>
    <row r="56" spans="1:3" x14ac:dyDescent="0.2">
      <c r="A56" s="2" t="s">
        <v>1155</v>
      </c>
      <c r="B56" t="s">
        <v>692</v>
      </c>
      <c r="C56">
        <f t="shared" si="0"/>
        <v>0</v>
      </c>
    </row>
    <row r="57" spans="1:3" x14ac:dyDescent="0.2">
      <c r="A57" s="2" t="s">
        <v>1155</v>
      </c>
      <c r="B57" t="s">
        <v>594</v>
      </c>
      <c r="C57">
        <f t="shared" si="0"/>
        <v>0</v>
      </c>
    </row>
    <row r="58" spans="1:3" x14ac:dyDescent="0.2">
      <c r="A58" s="2" t="s">
        <v>1155</v>
      </c>
      <c r="B58" t="s">
        <v>636</v>
      </c>
      <c r="C58">
        <f t="shared" si="0"/>
        <v>0</v>
      </c>
    </row>
    <row r="59" spans="1:3" x14ac:dyDescent="0.2">
      <c r="A59" s="2" t="s">
        <v>1155</v>
      </c>
      <c r="B59" t="s">
        <v>704</v>
      </c>
      <c r="C59">
        <f t="shared" si="0"/>
        <v>0</v>
      </c>
    </row>
    <row r="60" spans="1:3" x14ac:dyDescent="0.2">
      <c r="A60" s="2" t="s">
        <v>1155</v>
      </c>
      <c r="B60" t="s">
        <v>885</v>
      </c>
      <c r="C60">
        <f t="shared" si="0"/>
        <v>0</v>
      </c>
    </row>
    <row r="61" spans="1:3" s="21" customFormat="1" x14ac:dyDescent="0.2">
      <c r="A61" s="21" t="s">
        <v>1152</v>
      </c>
      <c r="B61" s="21" t="s">
        <v>551</v>
      </c>
      <c r="C61" s="21">
        <f t="shared" si="0"/>
        <v>1</v>
      </c>
    </row>
    <row r="62" spans="1:3" x14ac:dyDescent="0.2">
      <c r="A62" s="2" t="s">
        <v>1152</v>
      </c>
      <c r="B62" t="s">
        <v>578</v>
      </c>
      <c r="C62">
        <f t="shared" si="0"/>
        <v>0</v>
      </c>
    </row>
    <row r="63" spans="1:3" x14ac:dyDescent="0.2">
      <c r="A63" s="2" t="s">
        <v>1152</v>
      </c>
      <c r="B63" t="s">
        <v>561</v>
      </c>
      <c r="C63">
        <f t="shared" si="0"/>
        <v>0</v>
      </c>
    </row>
    <row r="64" spans="1:3" x14ac:dyDescent="0.2">
      <c r="A64" s="2" t="s">
        <v>1152</v>
      </c>
      <c r="B64" t="s">
        <v>567</v>
      </c>
      <c r="C64">
        <f t="shared" si="0"/>
        <v>0</v>
      </c>
    </row>
    <row r="65" spans="1:3" s="21" customFormat="1" x14ac:dyDescent="0.2">
      <c r="A65" s="21" t="s">
        <v>1178</v>
      </c>
      <c r="B65" s="21" t="s">
        <v>556</v>
      </c>
      <c r="C65" s="21">
        <f t="shared" si="0"/>
        <v>1</v>
      </c>
    </row>
    <row r="66" spans="1:3" x14ac:dyDescent="0.2">
      <c r="A66" s="2" t="s">
        <v>1178</v>
      </c>
      <c r="B66" t="s">
        <v>858</v>
      </c>
      <c r="C66">
        <f t="shared" si="0"/>
        <v>0</v>
      </c>
    </row>
    <row r="67" spans="1:3" x14ac:dyDescent="0.2">
      <c r="A67" s="2" t="s">
        <v>1178</v>
      </c>
      <c r="B67" t="s">
        <v>681</v>
      </c>
      <c r="C67">
        <f t="shared" ref="C67:C118" si="1">INT(NOT(A67=A66))</f>
        <v>0</v>
      </c>
    </row>
    <row r="68" spans="1:3" x14ac:dyDescent="0.2">
      <c r="A68" s="2" t="s">
        <v>1178</v>
      </c>
      <c r="B68" t="s">
        <v>599</v>
      </c>
      <c r="C68">
        <f t="shared" si="1"/>
        <v>0</v>
      </c>
    </row>
    <row r="69" spans="1:3" s="21" customFormat="1" x14ac:dyDescent="0.2">
      <c r="A69" s="21" t="s">
        <v>1151</v>
      </c>
      <c r="B69" s="21" t="s">
        <v>556</v>
      </c>
      <c r="C69" s="21">
        <f t="shared" si="1"/>
        <v>1</v>
      </c>
    </row>
    <row r="70" spans="1:3" x14ac:dyDescent="0.2">
      <c r="A70" s="2" t="s">
        <v>1151</v>
      </c>
      <c r="B70" t="s">
        <v>934</v>
      </c>
      <c r="C70">
        <f t="shared" si="1"/>
        <v>0</v>
      </c>
    </row>
    <row r="71" spans="1:3" x14ac:dyDescent="0.2">
      <c r="A71" s="2" t="s">
        <v>1151</v>
      </c>
      <c r="B71" t="s">
        <v>552</v>
      </c>
      <c r="C71">
        <f t="shared" si="1"/>
        <v>0</v>
      </c>
    </row>
    <row r="72" spans="1:3" x14ac:dyDescent="0.2">
      <c r="A72" s="2" t="s">
        <v>1151</v>
      </c>
      <c r="B72" t="s">
        <v>583</v>
      </c>
      <c r="C72">
        <f t="shared" si="1"/>
        <v>0</v>
      </c>
    </row>
    <row r="73" spans="1:3" x14ac:dyDescent="0.2">
      <c r="A73" s="2" t="s">
        <v>1151</v>
      </c>
      <c r="B73" t="s">
        <v>872</v>
      </c>
      <c r="C73">
        <f t="shared" si="1"/>
        <v>0</v>
      </c>
    </row>
    <row r="74" spans="1:3" x14ac:dyDescent="0.2">
      <c r="A74" s="2" t="s">
        <v>1151</v>
      </c>
      <c r="B74" t="s">
        <v>563</v>
      </c>
      <c r="C74">
        <f t="shared" si="1"/>
        <v>0</v>
      </c>
    </row>
    <row r="75" spans="1:3" x14ac:dyDescent="0.2">
      <c r="A75" s="2" t="s">
        <v>1151</v>
      </c>
      <c r="B75" t="s">
        <v>630</v>
      </c>
      <c r="C75">
        <f t="shared" si="1"/>
        <v>0</v>
      </c>
    </row>
    <row r="76" spans="1:3" x14ac:dyDescent="0.2">
      <c r="A76" s="2" t="s">
        <v>1151</v>
      </c>
      <c r="B76" t="s">
        <v>711</v>
      </c>
      <c r="C76">
        <f t="shared" si="1"/>
        <v>0</v>
      </c>
    </row>
    <row r="77" spans="1:3" x14ac:dyDescent="0.2">
      <c r="A77" s="2" t="s">
        <v>1151</v>
      </c>
      <c r="B77" t="s">
        <v>745</v>
      </c>
      <c r="C77">
        <f t="shared" si="1"/>
        <v>0</v>
      </c>
    </row>
    <row r="78" spans="1:3" x14ac:dyDescent="0.2">
      <c r="A78" s="2" t="s">
        <v>1151</v>
      </c>
      <c r="B78" t="s">
        <v>673</v>
      </c>
      <c r="C78">
        <f t="shared" si="1"/>
        <v>0</v>
      </c>
    </row>
    <row r="79" spans="1:3" x14ac:dyDescent="0.2">
      <c r="A79" s="2" t="s">
        <v>1151</v>
      </c>
      <c r="B79" t="s">
        <v>595</v>
      </c>
      <c r="C79">
        <f t="shared" si="1"/>
        <v>0</v>
      </c>
    </row>
    <row r="80" spans="1:3" x14ac:dyDescent="0.2">
      <c r="A80" s="2" t="s">
        <v>1151</v>
      </c>
      <c r="B80" t="s">
        <v>577</v>
      </c>
      <c r="C80">
        <f t="shared" si="1"/>
        <v>0</v>
      </c>
    </row>
    <row r="81" spans="1:3" x14ac:dyDescent="0.2">
      <c r="A81" s="2" t="s">
        <v>1151</v>
      </c>
      <c r="B81" t="s">
        <v>556</v>
      </c>
      <c r="C81">
        <f t="shared" si="1"/>
        <v>0</v>
      </c>
    </row>
    <row r="82" spans="1:3" s="21" customFormat="1" x14ac:dyDescent="0.2">
      <c r="A82" s="21" t="s">
        <v>1150</v>
      </c>
      <c r="B82" s="21" t="s">
        <v>648</v>
      </c>
      <c r="C82" s="21">
        <f t="shared" si="1"/>
        <v>1</v>
      </c>
    </row>
    <row r="83" spans="1:3" x14ac:dyDescent="0.2">
      <c r="A83" s="2" t="s">
        <v>1150</v>
      </c>
      <c r="B83" t="s">
        <v>726</v>
      </c>
      <c r="C83">
        <f t="shared" si="1"/>
        <v>0</v>
      </c>
    </row>
    <row r="84" spans="1:3" s="21" customFormat="1" x14ac:dyDescent="0.2">
      <c r="A84" s="21" t="s">
        <v>1148</v>
      </c>
      <c r="B84" s="21" t="s">
        <v>556</v>
      </c>
      <c r="C84" s="21">
        <f t="shared" si="1"/>
        <v>1</v>
      </c>
    </row>
    <row r="85" spans="1:3" x14ac:dyDescent="0.2">
      <c r="A85" t="s">
        <v>1148</v>
      </c>
      <c r="B85" t="s">
        <v>743</v>
      </c>
      <c r="C85">
        <f t="shared" si="1"/>
        <v>0</v>
      </c>
    </row>
    <row r="86" spans="1:3" x14ac:dyDescent="0.2">
      <c r="A86" t="s">
        <v>1148</v>
      </c>
      <c r="B86" t="s">
        <v>723</v>
      </c>
      <c r="C86">
        <f t="shared" si="1"/>
        <v>0</v>
      </c>
    </row>
    <row r="87" spans="1:3" s="21" customFormat="1" x14ac:dyDescent="0.2">
      <c r="A87" s="21" t="s">
        <v>1147</v>
      </c>
      <c r="B87" s="21" t="s">
        <v>556</v>
      </c>
      <c r="C87" s="21">
        <f t="shared" si="1"/>
        <v>1</v>
      </c>
    </row>
    <row r="88" spans="1:3" x14ac:dyDescent="0.2">
      <c r="A88" t="s">
        <v>1147</v>
      </c>
      <c r="B88" t="s">
        <v>681</v>
      </c>
      <c r="C88">
        <f t="shared" si="1"/>
        <v>0</v>
      </c>
    </row>
    <row r="89" spans="1:3" x14ac:dyDescent="0.2">
      <c r="A89" t="s">
        <v>1147</v>
      </c>
      <c r="B89" t="s">
        <v>593</v>
      </c>
      <c r="C89">
        <f t="shared" si="1"/>
        <v>0</v>
      </c>
    </row>
    <row r="90" spans="1:3" x14ac:dyDescent="0.2">
      <c r="A90" t="s">
        <v>1147</v>
      </c>
      <c r="B90" t="s">
        <v>555</v>
      </c>
      <c r="C90">
        <f t="shared" si="1"/>
        <v>0</v>
      </c>
    </row>
    <row r="91" spans="1:3" x14ac:dyDescent="0.2">
      <c r="A91" t="s">
        <v>1147</v>
      </c>
      <c r="B91" t="s">
        <v>569</v>
      </c>
      <c r="C91">
        <f t="shared" si="1"/>
        <v>0</v>
      </c>
    </row>
    <row r="92" spans="1:3" x14ac:dyDescent="0.2">
      <c r="A92" t="s">
        <v>1147</v>
      </c>
      <c r="B92" t="s">
        <v>599</v>
      </c>
      <c r="C92">
        <f t="shared" si="1"/>
        <v>0</v>
      </c>
    </row>
    <row r="93" spans="1:3" x14ac:dyDescent="0.2">
      <c r="A93" t="s">
        <v>1147</v>
      </c>
      <c r="B93" t="s">
        <v>865</v>
      </c>
      <c r="C93">
        <f t="shared" si="1"/>
        <v>0</v>
      </c>
    </row>
    <row r="94" spans="1:3" x14ac:dyDescent="0.2">
      <c r="A94" t="s">
        <v>1147</v>
      </c>
      <c r="B94" t="s">
        <v>709</v>
      </c>
      <c r="C94">
        <f t="shared" si="1"/>
        <v>0</v>
      </c>
    </row>
    <row r="95" spans="1:3" x14ac:dyDescent="0.2">
      <c r="A95" t="s">
        <v>1147</v>
      </c>
      <c r="B95" t="s">
        <v>566</v>
      </c>
      <c r="C95">
        <f t="shared" si="1"/>
        <v>0</v>
      </c>
    </row>
    <row r="96" spans="1:3" s="21" customFormat="1" x14ac:dyDescent="0.2">
      <c r="A96" s="21" t="s">
        <v>1149</v>
      </c>
      <c r="B96" s="21" t="s">
        <v>556</v>
      </c>
      <c r="C96" s="21">
        <f t="shared" si="1"/>
        <v>1</v>
      </c>
    </row>
    <row r="97" spans="1:3" x14ac:dyDescent="0.2">
      <c r="A97" s="2" t="s">
        <v>1149</v>
      </c>
      <c r="B97" t="s">
        <v>557</v>
      </c>
      <c r="C97">
        <f t="shared" si="1"/>
        <v>0</v>
      </c>
    </row>
    <row r="98" spans="1:3" x14ac:dyDescent="0.2">
      <c r="A98" s="2" t="s">
        <v>1149</v>
      </c>
      <c r="B98" t="s">
        <v>602</v>
      </c>
      <c r="C98">
        <f t="shared" si="1"/>
        <v>0</v>
      </c>
    </row>
    <row r="99" spans="1:3" x14ac:dyDescent="0.2">
      <c r="A99" s="2" t="s">
        <v>1149</v>
      </c>
      <c r="B99" t="s">
        <v>658</v>
      </c>
      <c r="C99">
        <f t="shared" si="1"/>
        <v>0</v>
      </c>
    </row>
    <row r="100" spans="1:3" x14ac:dyDescent="0.2">
      <c r="A100" s="2" t="s">
        <v>1149</v>
      </c>
      <c r="B100" t="s">
        <v>570</v>
      </c>
      <c r="C100">
        <f t="shared" si="1"/>
        <v>0</v>
      </c>
    </row>
    <row r="101" spans="1:3" x14ac:dyDescent="0.2">
      <c r="A101" s="2" t="s">
        <v>1149</v>
      </c>
      <c r="B101" t="s">
        <v>657</v>
      </c>
      <c r="C101">
        <f t="shared" si="1"/>
        <v>0</v>
      </c>
    </row>
    <row r="102" spans="1:3" x14ac:dyDescent="0.2">
      <c r="A102" s="2" t="s">
        <v>1149</v>
      </c>
      <c r="B102" t="s">
        <v>681</v>
      </c>
      <c r="C102">
        <f t="shared" si="1"/>
        <v>0</v>
      </c>
    </row>
    <row r="103" spans="1:3" x14ac:dyDescent="0.2">
      <c r="A103" s="2" t="s">
        <v>1149</v>
      </c>
      <c r="B103" t="s">
        <v>646</v>
      </c>
      <c r="C103">
        <f t="shared" si="1"/>
        <v>0</v>
      </c>
    </row>
    <row r="104" spans="1:3" x14ac:dyDescent="0.2">
      <c r="A104" s="2" t="s">
        <v>1149</v>
      </c>
      <c r="B104" t="s">
        <v>708</v>
      </c>
      <c r="C104">
        <f t="shared" si="1"/>
        <v>0</v>
      </c>
    </row>
    <row r="105" spans="1:3" x14ac:dyDescent="0.2">
      <c r="A105" s="2" t="s">
        <v>1149</v>
      </c>
      <c r="B105" t="s">
        <v>584</v>
      </c>
      <c r="C105">
        <f t="shared" si="1"/>
        <v>0</v>
      </c>
    </row>
    <row r="106" spans="1:3" x14ac:dyDescent="0.2">
      <c r="A106" s="2" t="s">
        <v>1149</v>
      </c>
      <c r="B106" t="s">
        <v>599</v>
      </c>
      <c r="C106">
        <f t="shared" si="1"/>
        <v>0</v>
      </c>
    </row>
    <row r="107" spans="1:3" x14ac:dyDescent="0.2">
      <c r="A107" s="2" t="s">
        <v>1149</v>
      </c>
      <c r="B107" t="s">
        <v>865</v>
      </c>
      <c r="C107">
        <f t="shared" si="1"/>
        <v>0</v>
      </c>
    </row>
    <row r="108" spans="1:3" x14ac:dyDescent="0.2">
      <c r="A108" s="2" t="s">
        <v>1149</v>
      </c>
      <c r="B108" t="s">
        <v>592</v>
      </c>
      <c r="C108">
        <f t="shared" si="1"/>
        <v>0</v>
      </c>
    </row>
    <row r="109" spans="1:3" s="21" customFormat="1" x14ac:dyDescent="0.2">
      <c r="A109" s="21" t="s">
        <v>1146</v>
      </c>
      <c r="B109" s="21" t="s">
        <v>556</v>
      </c>
      <c r="C109" s="21">
        <f t="shared" si="1"/>
        <v>1</v>
      </c>
    </row>
    <row r="110" spans="1:3" x14ac:dyDescent="0.2">
      <c r="A110" t="s">
        <v>1146</v>
      </c>
      <c r="B110" t="s">
        <v>728</v>
      </c>
      <c r="C110">
        <f t="shared" si="1"/>
        <v>0</v>
      </c>
    </row>
    <row r="111" spans="1:3" x14ac:dyDescent="0.2">
      <c r="A111" t="s">
        <v>1146</v>
      </c>
      <c r="B111" t="s">
        <v>716</v>
      </c>
      <c r="C111">
        <f t="shared" si="1"/>
        <v>0</v>
      </c>
    </row>
    <row r="112" spans="1:3" x14ac:dyDescent="0.2">
      <c r="A112" t="s">
        <v>1146</v>
      </c>
      <c r="B112" t="s">
        <v>673</v>
      </c>
      <c r="C112">
        <f t="shared" si="1"/>
        <v>0</v>
      </c>
    </row>
    <row r="113" spans="1:3" x14ac:dyDescent="0.2">
      <c r="A113" t="s">
        <v>1146</v>
      </c>
      <c r="B113" t="s">
        <v>595</v>
      </c>
      <c r="C113">
        <f t="shared" si="1"/>
        <v>0</v>
      </c>
    </row>
    <row r="114" spans="1:3" x14ac:dyDescent="0.2">
      <c r="A114" t="s">
        <v>1146</v>
      </c>
      <c r="B114" t="s">
        <v>565</v>
      </c>
      <c r="C114">
        <f t="shared" si="1"/>
        <v>0</v>
      </c>
    </row>
    <row r="115" spans="1:3" x14ac:dyDescent="0.2">
      <c r="A115" t="s">
        <v>1146</v>
      </c>
      <c r="B115" t="s">
        <v>637</v>
      </c>
      <c r="C115">
        <f t="shared" si="1"/>
        <v>0</v>
      </c>
    </row>
    <row r="116" spans="1:3" x14ac:dyDescent="0.2">
      <c r="A116" t="s">
        <v>1146</v>
      </c>
      <c r="B116" t="s">
        <v>748</v>
      </c>
      <c r="C116">
        <f t="shared" si="1"/>
        <v>0</v>
      </c>
    </row>
    <row r="117" spans="1:3" x14ac:dyDescent="0.2">
      <c r="A117" t="s">
        <v>1146</v>
      </c>
      <c r="B117" t="s">
        <v>859</v>
      </c>
      <c r="C117">
        <f t="shared" si="1"/>
        <v>0</v>
      </c>
    </row>
    <row r="118" spans="1:3" x14ac:dyDescent="0.2">
      <c r="A118" t="s">
        <v>1146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trip_roster</vt:lpstr>
      <vt:lpstr>trip_route</vt:lpstr>
      <vt:lpstr>trip_visit</vt:lpstr>
      <vt:lpstr>weather_noon</vt:lpstr>
      <vt:lpstr>weather_dusk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2025-12-26T01:27:41Z</dcterms:modified>
</cp:coreProperties>
</file>