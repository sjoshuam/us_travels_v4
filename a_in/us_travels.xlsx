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9/Code/us_travels_v4/a_in/"/>
    </mc:Choice>
  </mc:AlternateContent>
  <xr:revisionPtr revIDLastSave="0" documentId="13_ncr:1_{1580D2FE-518F-704D-BDF6-EB2A0E2DBB48}" xr6:coauthVersionLast="47" xr6:coauthVersionMax="47" xr10:uidLastSave="{00000000-0000-0000-0000-000000000000}"/>
  <bookViews>
    <workbookView xWindow="55780" yWindow="680" windowWidth="16340" windowHeight="20100" activeTab="4" xr2:uid="{895BEAD3-490B-3645-811C-E95312094DBD}"/>
  </bookViews>
  <sheets>
    <sheet name="area_region" sheetId="4" r:id="rId1"/>
    <sheet name="area_state" sheetId="3" r:id="rId2"/>
    <sheet name="msa_roster" sheetId="1" r:id="rId3"/>
    <sheet name="msa_visit" sheetId="6" r:id="rId4"/>
    <sheet name="msa_lonlat" sheetId="11" r:id="rId5"/>
    <sheet name="weather_noon" sheetId="9" r:id="rId6"/>
    <sheet name="weather_dusk" sheetId="10" r:id="rId7"/>
    <sheet name="trip_roster" sheetId="15" r:id="rId8"/>
    <sheet name="trip_route" sheetId="12" r:id="rId9"/>
    <sheet name="trip_visit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6" l="1"/>
  <c r="D22" i="6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2" i="12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2" i="17"/>
  <c r="C5" i="15"/>
  <c r="D12" i="15"/>
  <c r="C12" i="15"/>
  <c r="D32" i="6"/>
  <c r="D2" i="15"/>
  <c r="C2" i="15"/>
  <c r="D4" i="15"/>
  <c r="C4" i="15"/>
  <c r="D3" i="15" l="1"/>
  <c r="C3" i="15"/>
  <c r="D15" i="15"/>
  <c r="C15" i="15"/>
  <c r="D13" i="15"/>
  <c r="C13" i="15"/>
  <c r="D14" i="15"/>
  <c r="C14" i="15"/>
  <c r="D11" i="15"/>
  <c r="C11" i="15"/>
  <c r="D57" i="6"/>
  <c r="D10" i="15"/>
  <c r="C10" i="15"/>
  <c r="D8" i="15"/>
  <c r="C8" i="15"/>
  <c r="D6" i="15"/>
  <c r="C7" i="15"/>
  <c r="D9" i="15"/>
  <c r="C6" i="15"/>
  <c r="C9" i="15"/>
  <c r="D5" i="15"/>
  <c r="D7" i="15"/>
  <c r="D58" i="6"/>
  <c r="D13" i="6"/>
  <c r="C289" i="1" l="1"/>
  <c r="D289" i="1"/>
  <c r="D3" i="1"/>
  <c r="D4" i="1"/>
  <c r="D5" i="1"/>
  <c r="D6" i="1"/>
  <c r="D7" i="1"/>
  <c r="D8" i="1"/>
  <c r="D9" i="1"/>
  <c r="D10" i="1"/>
  <c r="D11" i="1"/>
  <c r="D12" i="1"/>
  <c r="D14" i="1"/>
  <c r="D15" i="1"/>
  <c r="D16" i="1"/>
  <c r="D17" i="1"/>
  <c r="D18" i="1"/>
  <c r="D19" i="1"/>
  <c r="D13" i="1"/>
  <c r="D21" i="1"/>
  <c r="D22" i="1"/>
  <c r="D24" i="1"/>
  <c r="D25" i="1"/>
  <c r="D26" i="1"/>
  <c r="D27" i="1"/>
  <c r="D28" i="1"/>
  <c r="D29" i="1"/>
  <c r="D30" i="1"/>
  <c r="D31" i="1"/>
  <c r="D32" i="1"/>
  <c r="D33" i="1"/>
  <c r="D35" i="1"/>
  <c r="D36" i="1"/>
  <c r="D38" i="1"/>
  <c r="D39" i="1"/>
  <c r="D40" i="1"/>
  <c r="D41" i="1"/>
  <c r="D42" i="1"/>
  <c r="D229" i="1"/>
  <c r="D43" i="1"/>
  <c r="D44" i="1"/>
  <c r="D45" i="1"/>
  <c r="D46" i="1"/>
  <c r="D47" i="1"/>
  <c r="D48" i="1"/>
  <c r="D49" i="1"/>
  <c r="D50" i="1"/>
  <c r="D52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70" i="1"/>
  <c r="D71" i="1"/>
  <c r="D72" i="1"/>
  <c r="D73" i="1"/>
  <c r="D74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20" i="1"/>
  <c r="D163" i="1"/>
  <c r="D164" i="1"/>
  <c r="D165" i="1"/>
  <c r="D166" i="1"/>
  <c r="D167" i="1"/>
  <c r="D23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34" i="1"/>
  <c r="D202" i="1"/>
  <c r="D203" i="1"/>
  <c r="D204" i="1"/>
  <c r="D205" i="1"/>
  <c r="D206" i="1"/>
  <c r="D207" i="1"/>
  <c r="D208" i="1"/>
  <c r="D209" i="1"/>
  <c r="D37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51" i="1"/>
  <c r="D250" i="1"/>
  <c r="D53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67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75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126" i="1"/>
  <c r="D394" i="1"/>
  <c r="D395" i="1"/>
  <c r="D396" i="1"/>
  <c r="D397" i="1"/>
  <c r="D2" i="1"/>
  <c r="C77" i="1"/>
  <c r="C93" i="1"/>
  <c r="C2" i="1"/>
  <c r="C48" i="1"/>
  <c r="C65" i="1"/>
  <c r="C31" i="1"/>
  <c r="C50" i="1"/>
  <c r="C108" i="1"/>
  <c r="C49" i="1"/>
  <c r="C45" i="1"/>
  <c r="C62" i="1"/>
  <c r="C5" i="1"/>
  <c r="C69" i="1"/>
  <c r="C36" i="1"/>
  <c r="C47" i="1"/>
  <c r="C229" i="1"/>
  <c r="C63" i="1"/>
  <c r="C119" i="1"/>
  <c r="C82" i="1"/>
  <c r="C117" i="1"/>
  <c r="C79" i="1"/>
  <c r="C99" i="1"/>
  <c r="C124" i="1"/>
  <c r="C66" i="1"/>
  <c r="C114" i="1"/>
  <c r="C127" i="1"/>
  <c r="C38" i="1"/>
  <c r="C85" i="1"/>
  <c r="C86" i="1"/>
  <c r="C100" i="1"/>
  <c r="C87" i="1"/>
  <c r="C73" i="1"/>
  <c r="C109" i="1"/>
  <c r="C21" i="1"/>
  <c r="C35" i="1"/>
  <c r="C54" i="1"/>
  <c r="C25" i="1"/>
  <c r="C110" i="1"/>
  <c r="C3" i="1"/>
  <c r="C70" i="1"/>
  <c r="C8" i="1"/>
  <c r="C43" i="1"/>
  <c r="C11" i="1"/>
  <c r="C55" i="1"/>
  <c r="C90" i="1"/>
  <c r="C101" i="1"/>
  <c r="C94" i="1"/>
  <c r="C22" i="1"/>
  <c r="C64" i="1"/>
  <c r="C33" i="1"/>
  <c r="C111" i="1"/>
  <c r="C125" i="1"/>
  <c r="C40" i="1"/>
  <c r="C61" i="1"/>
  <c r="C26" i="1"/>
  <c r="C58" i="1"/>
  <c r="C4" i="1"/>
  <c r="C59" i="1"/>
  <c r="C105" i="1"/>
  <c r="C56" i="1"/>
  <c r="C80" i="1"/>
  <c r="C71" i="1"/>
  <c r="C7" i="1"/>
  <c r="C12" i="1"/>
  <c r="C44" i="1"/>
  <c r="C122" i="1"/>
  <c r="C74" i="1"/>
  <c r="C106" i="1"/>
  <c r="C27" i="1"/>
  <c r="C123" i="1"/>
  <c r="C57" i="1"/>
  <c r="C6" i="1"/>
  <c r="C118" i="1"/>
  <c r="C107" i="1"/>
  <c r="C46" i="1"/>
  <c r="C83" i="1"/>
  <c r="C88" i="1"/>
  <c r="C120" i="1"/>
  <c r="C72" i="1"/>
  <c r="C28" i="1"/>
  <c r="C95" i="1"/>
  <c r="C9" i="1"/>
  <c r="C102" i="1"/>
  <c r="C96" i="1"/>
  <c r="C52" i="1"/>
  <c r="C91" i="1"/>
  <c r="C98" i="1"/>
  <c r="C68" i="1"/>
  <c r="C103" i="1"/>
  <c r="C115" i="1"/>
  <c r="C14" i="1"/>
  <c r="C84" i="1"/>
  <c r="C15" i="1"/>
  <c r="C92" i="1"/>
  <c r="C113" i="1"/>
  <c r="C112" i="1"/>
  <c r="C16" i="1"/>
  <c r="C17" i="1"/>
  <c r="C18" i="1"/>
  <c r="C97" i="1"/>
  <c r="C19" i="1"/>
  <c r="C13" i="1"/>
  <c r="C78" i="1"/>
  <c r="C32" i="1"/>
  <c r="C121" i="1"/>
  <c r="C104" i="1"/>
  <c r="C39" i="1"/>
  <c r="C60" i="1"/>
  <c r="C29" i="1"/>
  <c r="C30" i="1"/>
  <c r="C41" i="1"/>
  <c r="C76" i="1"/>
  <c r="C10" i="1"/>
  <c r="C89" i="1"/>
  <c r="C116" i="1"/>
  <c r="C24" i="1"/>
  <c r="C42" i="1"/>
  <c r="C343" i="1"/>
  <c r="C303" i="1"/>
  <c r="C187" i="1"/>
  <c r="C314" i="1"/>
  <c r="C234" i="1"/>
  <c r="C319" i="1"/>
  <c r="C344" i="1"/>
  <c r="C200" i="1"/>
  <c r="C242" i="1"/>
  <c r="C53" i="1"/>
  <c r="C128" i="1"/>
  <c r="C382" i="1"/>
  <c r="C188" i="1"/>
  <c r="C75" i="1"/>
  <c r="C129" i="1"/>
  <c r="C189" i="1"/>
  <c r="C146" i="1"/>
  <c r="C51" i="1"/>
  <c r="C243" i="1"/>
  <c r="C251" i="1"/>
  <c r="C252" i="1"/>
  <c r="C345" i="1"/>
  <c r="C393" i="1"/>
  <c r="C374" i="1"/>
  <c r="C315" i="1"/>
  <c r="C294" i="1"/>
  <c r="C368" i="1"/>
  <c r="C210" i="1"/>
  <c r="C216" i="1"/>
  <c r="C162" i="1"/>
  <c r="C167" i="1"/>
  <c r="C346" i="1"/>
  <c r="C190" i="1"/>
  <c r="C275" i="1"/>
  <c r="C304" i="1"/>
  <c r="C170" i="1"/>
  <c r="C266" i="1"/>
  <c r="C397" i="1"/>
  <c r="C201" i="1"/>
  <c r="C320" i="1"/>
  <c r="C211" i="1"/>
  <c r="C336" i="1"/>
  <c r="C147" i="1"/>
  <c r="C337" i="1"/>
  <c r="C338" i="1"/>
  <c r="C206" i="1"/>
  <c r="C347" i="1"/>
  <c r="C20" i="1"/>
  <c r="C267" i="1"/>
  <c r="C191" i="1"/>
  <c r="C217" i="1"/>
  <c r="C348" i="1"/>
  <c r="C316" i="1"/>
  <c r="C171" i="1"/>
  <c r="C192" i="1"/>
  <c r="C130" i="1"/>
  <c r="C34" i="1"/>
  <c r="C305" i="1"/>
  <c r="C131" i="1"/>
  <c r="C212" i="1"/>
  <c r="C172" i="1"/>
  <c r="C132" i="1"/>
  <c r="C202" i="1"/>
  <c r="C262" i="1"/>
  <c r="C67" i="1"/>
  <c r="C349" i="1"/>
  <c r="C383" i="1"/>
  <c r="C148" i="1"/>
  <c r="C230" i="1"/>
  <c r="C218" i="1"/>
  <c r="C295" i="1"/>
  <c r="C312" i="1"/>
  <c r="C321" i="1"/>
  <c r="C317" i="1"/>
  <c r="C219" i="1"/>
  <c r="C291" i="1"/>
  <c r="C138" i="1"/>
  <c r="C276" i="1"/>
  <c r="C253" i="1"/>
  <c r="C133" i="1"/>
  <c r="C331" i="1"/>
  <c r="C384" i="1"/>
  <c r="C163" i="1"/>
  <c r="C139" i="1"/>
  <c r="C220" i="1"/>
  <c r="C134" i="1"/>
  <c r="C173" i="1"/>
  <c r="C193" i="1"/>
  <c r="C322" i="1"/>
  <c r="C296" i="1"/>
  <c r="C277" i="1"/>
  <c r="C286" i="1"/>
  <c r="C288" i="1"/>
  <c r="C164" i="1"/>
  <c r="C273" i="1"/>
  <c r="C165" i="1"/>
  <c r="C385" i="1"/>
  <c r="C278" i="1"/>
  <c r="C279" i="1"/>
  <c r="C271" i="1"/>
  <c r="C247" i="1"/>
  <c r="C235" i="1"/>
  <c r="C149" i="1"/>
  <c r="C369" i="1"/>
  <c r="C272" i="1"/>
  <c r="C280" i="1"/>
  <c r="C332" i="1"/>
  <c r="C194" i="1"/>
  <c r="C174" i="1"/>
  <c r="C140" i="1"/>
  <c r="C236" i="1"/>
  <c r="C135" i="1"/>
  <c r="C207" i="1"/>
  <c r="C203" i="1"/>
  <c r="C297" i="1"/>
  <c r="C254" i="1"/>
  <c r="C339" i="1"/>
  <c r="C281" i="1"/>
  <c r="C386" i="1"/>
  <c r="C340" i="1"/>
  <c r="C323" i="1"/>
  <c r="C141" i="1"/>
  <c r="C268" i="1"/>
  <c r="C199" i="1"/>
  <c r="C255" i="1"/>
  <c r="C213" i="1"/>
  <c r="C375" i="1"/>
  <c r="C387" i="1"/>
  <c r="C350" i="1"/>
  <c r="C341" i="1"/>
  <c r="C298" i="1"/>
  <c r="C299" i="1"/>
  <c r="C221" i="1"/>
  <c r="C388" i="1"/>
  <c r="C222" i="1"/>
  <c r="C237" i="1"/>
  <c r="C238" i="1"/>
  <c r="C142" i="1"/>
  <c r="C175" i="1"/>
  <c r="C324" i="1"/>
  <c r="C351" i="1"/>
  <c r="C292" i="1"/>
  <c r="C227" i="1"/>
  <c r="C313" i="1"/>
  <c r="C325" i="1"/>
  <c r="C208" i="1"/>
  <c r="C250" i="1"/>
  <c r="C231" i="1"/>
  <c r="C248" i="1"/>
  <c r="C306" i="1"/>
  <c r="C364" i="1"/>
  <c r="C352" i="1"/>
  <c r="C376" i="1"/>
  <c r="C353" i="1"/>
  <c r="C370" i="1"/>
  <c r="C195" i="1"/>
  <c r="C228" i="1"/>
  <c r="C263" i="1"/>
  <c r="C307" i="1"/>
  <c r="C354" i="1"/>
  <c r="C318" i="1"/>
  <c r="C223" i="1"/>
  <c r="C256" i="1"/>
  <c r="C355" i="1"/>
  <c r="C287" i="1"/>
  <c r="C274" i="1"/>
  <c r="C136" i="1"/>
  <c r="C150" i="1"/>
  <c r="C239" i="1"/>
  <c r="C257" i="1"/>
  <c r="C126" i="1"/>
  <c r="C342" i="1"/>
  <c r="C377" i="1"/>
  <c r="C224" i="1"/>
  <c r="C258" i="1"/>
  <c r="C333" i="1"/>
  <c r="C151" i="1"/>
  <c r="C176" i="1"/>
  <c r="C23" i="1"/>
  <c r="C259" i="1"/>
  <c r="C177" i="1"/>
  <c r="C168" i="1"/>
  <c r="C178" i="1"/>
  <c r="C356" i="1"/>
  <c r="C365" i="1"/>
  <c r="C389" i="1"/>
  <c r="C232" i="1"/>
  <c r="C152" i="1"/>
  <c r="C233" i="1"/>
  <c r="C179" i="1"/>
  <c r="C180" i="1"/>
  <c r="C394" i="1"/>
  <c r="C181" i="1"/>
  <c r="C214" i="1"/>
  <c r="C282" i="1"/>
  <c r="C244" i="1"/>
  <c r="C209" i="1"/>
  <c r="C182" i="1"/>
  <c r="C143" i="1"/>
  <c r="C366" i="1"/>
  <c r="C166" i="1"/>
  <c r="C183" i="1"/>
  <c r="C390" i="1"/>
  <c r="C326" i="1"/>
  <c r="C153" i="1"/>
  <c r="C293" i="1"/>
  <c r="C371" i="1"/>
  <c r="C264" i="1"/>
  <c r="C215" i="1"/>
  <c r="C283" i="1"/>
  <c r="C196" i="1"/>
  <c r="C260" i="1"/>
  <c r="C154" i="1"/>
  <c r="C249" i="1"/>
  <c r="C357" i="1"/>
  <c r="C155" i="1"/>
  <c r="C308" i="1"/>
  <c r="C156" i="1"/>
  <c r="C157" i="1"/>
  <c r="C327" i="1"/>
  <c r="C184" i="1"/>
  <c r="C185" i="1"/>
  <c r="C391" i="1"/>
  <c r="C358" i="1"/>
  <c r="C240" i="1"/>
  <c r="C144" i="1"/>
  <c r="C204" i="1"/>
  <c r="C241" i="1"/>
  <c r="C225" i="1"/>
  <c r="C334" i="1"/>
  <c r="C378" i="1"/>
  <c r="C245" i="1"/>
  <c r="C269" i="1"/>
  <c r="C309" i="1"/>
  <c r="C265" i="1"/>
  <c r="C367" i="1"/>
  <c r="C270" i="1"/>
  <c r="C328" i="1"/>
  <c r="C372" i="1"/>
  <c r="C158" i="1"/>
  <c r="C335" i="1"/>
  <c r="C300" i="1"/>
  <c r="C226" i="1"/>
  <c r="C359" i="1"/>
  <c r="C310" i="1"/>
  <c r="C261" i="1"/>
  <c r="C137" i="1"/>
  <c r="C37" i="1"/>
  <c r="C360" i="1"/>
  <c r="C301" i="1"/>
  <c r="C197" i="1"/>
  <c r="C159" i="1"/>
  <c r="C361" i="1"/>
  <c r="C290" i="1"/>
  <c r="C160" i="1"/>
  <c r="C362" i="1"/>
  <c r="C379" i="1"/>
  <c r="C198" i="1"/>
  <c r="C169" i="1"/>
  <c r="C205" i="1"/>
  <c r="C302" i="1"/>
  <c r="C392" i="1"/>
  <c r="C395" i="1"/>
  <c r="C380" i="1"/>
  <c r="C396" i="1"/>
  <c r="C363" i="1"/>
  <c r="C186" i="1"/>
  <c r="C329" i="1"/>
  <c r="C284" i="1"/>
  <c r="C373" i="1"/>
  <c r="C285" i="1"/>
  <c r="C246" i="1"/>
  <c r="C381" i="1"/>
  <c r="C330" i="1"/>
  <c r="C311" i="1"/>
  <c r="C161" i="1"/>
  <c r="C145" i="1"/>
  <c r="C81" i="1"/>
  <c r="D48" i="6" l="1"/>
  <c r="D47" i="6"/>
  <c r="D59" i="6"/>
  <c r="D6" i="6"/>
  <c r="D5" i="6"/>
  <c r="D4" i="6"/>
  <c r="D17" i="6"/>
  <c r="D16" i="6"/>
  <c r="D15" i="6"/>
  <c r="D14" i="6"/>
  <c r="D12" i="6"/>
  <c r="D70" i="6"/>
  <c r="D76" i="6"/>
  <c r="D75" i="6"/>
  <c r="D74" i="6"/>
  <c r="D50" i="6"/>
  <c r="D49" i="6"/>
  <c r="D42" i="6"/>
  <c r="D56" i="6"/>
  <c r="D7" i="6"/>
  <c r="D88" i="6"/>
  <c r="D87" i="6"/>
  <c r="D81" i="6"/>
  <c r="D80" i="6"/>
  <c r="D79" i="6"/>
  <c r="D78" i="6"/>
  <c r="D77" i="6"/>
  <c r="D73" i="6"/>
  <c r="D72" i="6"/>
  <c r="D10" i="6"/>
  <c r="D46" i="6"/>
  <c r="D34" i="6"/>
  <c r="D33" i="6"/>
  <c r="D30" i="6"/>
  <c r="D29" i="6"/>
  <c r="D28" i="6"/>
  <c r="D19" i="6"/>
  <c r="D18" i="6"/>
  <c r="D11" i="6"/>
  <c r="D3" i="6"/>
  <c r="D2" i="6"/>
  <c r="D83" i="6"/>
  <c r="D82" i="6"/>
  <c r="D71" i="6"/>
  <c r="D69" i="6"/>
  <c r="D68" i="6"/>
  <c r="D67" i="6"/>
  <c r="D63" i="6"/>
  <c r="D62" i="6"/>
  <c r="D61" i="6"/>
  <c r="D60" i="6"/>
  <c r="D55" i="6"/>
  <c r="D54" i="6"/>
  <c r="D53" i="6"/>
  <c r="D37" i="6"/>
  <c r="D36" i="6"/>
  <c r="D35" i="6"/>
  <c r="D31" i="6"/>
  <c r="D9" i="6"/>
  <c r="D8" i="6"/>
  <c r="D86" i="6"/>
  <c r="D85" i="6"/>
  <c r="D84" i="6"/>
  <c r="D66" i="6"/>
  <c r="D65" i="6"/>
  <c r="D64" i="6"/>
  <c r="D52" i="6"/>
  <c r="D51" i="6"/>
  <c r="D45" i="6"/>
  <c r="D44" i="6"/>
  <c r="D43" i="6"/>
  <c r="D41" i="6"/>
  <c r="D40" i="6"/>
  <c r="D39" i="6"/>
  <c r="D38" i="6"/>
  <c r="D27" i="6"/>
  <c r="D26" i="6"/>
  <c r="D25" i="6"/>
  <c r="D24" i="6"/>
  <c r="D21" i="6"/>
  <c r="D20" i="6"/>
  <c r="E6" i="3"/>
  <c r="E35" i="3"/>
  <c r="E13" i="3"/>
  <c r="E14" i="3"/>
  <c r="E16" i="3"/>
  <c r="E17" i="3"/>
  <c r="E18" i="3"/>
  <c r="E24" i="3"/>
  <c r="E25" i="3"/>
  <c r="E26" i="3"/>
  <c r="E30" i="3"/>
  <c r="E31" i="3"/>
  <c r="E37" i="3"/>
  <c r="E44" i="3"/>
  <c r="E51" i="3"/>
  <c r="E8" i="3"/>
  <c r="E21" i="3"/>
  <c r="E23" i="3"/>
  <c r="E32" i="3"/>
  <c r="E33" i="3"/>
  <c r="E36" i="3"/>
  <c r="E40" i="3"/>
  <c r="E42" i="3"/>
  <c r="E49" i="3"/>
  <c r="E15" i="3"/>
  <c r="E28" i="3"/>
  <c r="E39" i="3"/>
  <c r="E50" i="3"/>
  <c r="E53" i="3"/>
  <c r="E41" i="3"/>
  <c r="E3" i="3"/>
  <c r="E4" i="3"/>
  <c r="E9" i="3"/>
  <c r="E10" i="3"/>
  <c r="E11" i="3"/>
  <c r="E12" i="3"/>
  <c r="E19" i="3"/>
  <c r="E20" i="3"/>
  <c r="E22" i="3"/>
  <c r="E27" i="3"/>
  <c r="E29" i="3"/>
  <c r="E43" i="3"/>
  <c r="E45" i="3"/>
  <c r="E48" i="3"/>
  <c r="E52" i="3"/>
  <c r="E5" i="3"/>
  <c r="E7" i="3"/>
  <c r="E34" i="3"/>
  <c r="E38" i="3"/>
  <c r="E46" i="3"/>
  <c r="E47" i="3"/>
  <c r="E2" i="3"/>
</calcChain>
</file>

<file path=xl/sharedStrings.xml><?xml version="1.0" encoding="utf-8"?>
<sst xmlns="http://schemas.openxmlformats.org/spreadsheetml/2006/main" count="3538" uniqueCount="1198">
  <si>
    <t>New York–Newark–Jersey City, NY-NJ MSA</t>
  </si>
  <si>
    <t>New York–Newark, NY-NJ-CT-PA CSA</t>
  </si>
  <si>
    <t>Los Angeles–Long Beach–Anaheim, CA MSA</t>
  </si>
  <si>
    <t>Los Angeles–Long Beach, CA CSA</t>
  </si>
  <si>
    <t>Chicago–Naperville–Elgin, IL-IN MSA</t>
  </si>
  <si>
    <t>Chicago–Naperville, IL-IN-WI CSA</t>
  </si>
  <si>
    <t>Dallas–Fort Worth–Arlington, TX MSA</t>
  </si>
  <si>
    <t>Dallas–Fort Worth, TX-OK CSA</t>
  </si>
  <si>
    <t>Houston–Pasadena–The Woodlands, TX MSA</t>
  </si>
  <si>
    <t>Houston–Pasadena, TX CSA</t>
  </si>
  <si>
    <t>Miami–Fort Lauderdale–West Palm Beach, FL MSA</t>
  </si>
  <si>
    <t>Miami–Port St. Lucie–Fort Lauderdale, FL CSA</t>
  </si>
  <si>
    <t>Washington–Arlington–Alexandria, DC-VA-MD-WV MSA</t>
  </si>
  <si>
    <t>Washington–Baltimore–Arlington, DC-MD-VA-WV-PA CSA</t>
  </si>
  <si>
    <t>Atlanta–Sandy Springs–Roswell, GA MSA</t>
  </si>
  <si>
    <t>Atlanta–Athens-Clarke County–Sandy Springs, GA-AL CSA</t>
  </si>
  <si>
    <t>Philadelphia–Camden–Wilmington, PA-NJ-DE-MD MSA</t>
  </si>
  <si>
    <t>Philadelphia–Reading–Camden, PA-NJ-DE-MD CSA</t>
  </si>
  <si>
    <t>Phoenix–Mesa–Chandler, AZ MSA</t>
  </si>
  <si>
    <t>Phoenix–Mesa, AZ CSA</t>
  </si>
  <si>
    <t>Boston–Cambridge–Newton, MA-NH MSA</t>
  </si>
  <si>
    <t>Boston–Worcester–Providence, MA-RI-NH CSA</t>
  </si>
  <si>
    <t>Riverside–San Bernardino–Ontario, CA MSA</t>
  </si>
  <si>
    <t>San Francisco–Oakland–Fremont, CA MSA</t>
  </si>
  <si>
    <t>San Jose–San Francisco–Oakland, CA CSA</t>
  </si>
  <si>
    <t>Detroit–Warren–Dearborn, MI MSA</t>
  </si>
  <si>
    <t>Detroit–Warren–Ann Arbor, MI CSA</t>
  </si>
  <si>
    <t>Seattle–Tacoma–Bellevue, WA MSA</t>
  </si>
  <si>
    <t>Seattle–Tacoma, WA CSA</t>
  </si>
  <si>
    <t>Minneapolis–St. Paul–Bloomington, MN-WI MSA</t>
  </si>
  <si>
    <t>Minneapolis–St. Paul, MN-WI CSA</t>
  </si>
  <si>
    <t>Tampa–St. Petersburg–Clearwater, FL MSA</t>
  </si>
  <si>
    <t>San Diego–Chula Vista–Carlsbad, CA MSA</t>
  </si>
  <si>
    <t>Denver–Aurora–Centennial, CO MSA</t>
  </si>
  <si>
    <t>Denver–Aurora–Greeley, CO CSA</t>
  </si>
  <si>
    <t>Orlando–Kissimmee–Sanford, FL MSA</t>
  </si>
  <si>
    <t>Orlando–Lakeland–Deltona, FL CSA</t>
  </si>
  <si>
    <t>Charlotte–Concord–Gastonia, NC-SC MSA</t>
  </si>
  <si>
    <t>Charlotte–Concord, NC-SC CSA</t>
  </si>
  <si>
    <t>Baltimore–Columbia–Towson, MD MSA</t>
  </si>
  <si>
    <t>St. Louis, MO-IL MSA</t>
  </si>
  <si>
    <t>St. Louis–St. Charles–Farmington, MO-IL CSA</t>
  </si>
  <si>
    <t>San Antonio–New Braunfels, TX MSA</t>
  </si>
  <si>
    <t>San Antonio–New Braunfels–Kerrville, TX CSA</t>
  </si>
  <si>
    <t>Austin–Round Rock–San Marcos, TX MSA</t>
  </si>
  <si>
    <t>Portland–Vancouver–Hillsboro, OR-WA MSA</t>
  </si>
  <si>
    <t>Portland–Vancouver–Salem, OR-WA CSA</t>
  </si>
  <si>
    <t>Sacramento–Roseville–Folsom, CA MSA</t>
  </si>
  <si>
    <t>Sacramento–Roseville, CA CSA</t>
  </si>
  <si>
    <t>Pittsburgh, PA MSA</t>
  </si>
  <si>
    <t>Pittsburgh–Weirton–Steubenville, PA-OH-WV CSA</t>
  </si>
  <si>
    <t>Las Vegas–Henderson–North Las Vegas, NV MSA</t>
  </si>
  <si>
    <t>Las Vegas–Henderson, NV CSA</t>
  </si>
  <si>
    <t>Cincinnati, OH-KY-IN MSA</t>
  </si>
  <si>
    <t>Cincinnati–Wilmington, OH-KY-IN CSA</t>
  </si>
  <si>
    <t>Kansas City, MO-KS MSA</t>
  </si>
  <si>
    <t>Kansas City–Overland Park–Kansas City, MO-KS CSA</t>
  </si>
  <si>
    <t>Columbus, OH MSA</t>
  </si>
  <si>
    <t>Columbus–Marion–Zanesville, OH CSA</t>
  </si>
  <si>
    <t>Indianapolis–Carmel–Greenwood, IN MSA</t>
  </si>
  <si>
    <t>Indianapolis–Carmel–Muncie, IN CSA</t>
  </si>
  <si>
    <t>Cleveland, OH MSA</t>
  </si>
  <si>
    <t>Cleveland–Akron–Canton, OH CSA</t>
  </si>
  <si>
    <t>Nashville-Davidson–Murfreesboro–Franklin, TN MSA</t>
  </si>
  <si>
    <t>Nashville-Davidson–Murfreesboro, TN CSA</t>
  </si>
  <si>
    <t>San Jose–Sunnyvale–Santa Clara, CA MSA</t>
  </si>
  <si>
    <t>Virginia Beach–Chesapeake–Norfolk, VA-NC MSA</t>
  </si>
  <si>
    <t>Virginia Beach–Chesapeake, VA-NC CSA</t>
  </si>
  <si>
    <t>Jacksonville, FL MSA</t>
  </si>
  <si>
    <t>Jacksonville–Kingsland–Palatka, FL-GA CSA</t>
  </si>
  <si>
    <t>Providence–Warwick, RI-MA MSA</t>
  </si>
  <si>
    <t>Milwaukee–Waukesha, WI MSA</t>
  </si>
  <si>
    <t>Milwaukee–Racine–Waukesha, WI CSA</t>
  </si>
  <si>
    <t>Raleigh–Cary, NC MSA</t>
  </si>
  <si>
    <t>Raleigh–Durham–Cary, NC CSA</t>
  </si>
  <si>
    <t>Oklahoma City, OK MSA</t>
  </si>
  <si>
    <t>Oklahoma City–Shawnee, OK CSA</t>
  </si>
  <si>
    <t>Louisville/Jefferson County, KY-IN MSA</t>
  </si>
  <si>
    <t>Louisville/Jefferson County–Elizabethtown, KY-IN CSA</t>
  </si>
  <si>
    <t>Richmond, VA MSA</t>
  </si>
  <si>
    <t>Memphis, TN-MS-AR MSA</t>
  </si>
  <si>
    <t>Memphis–Clarksdale–Forrest City, TN-MS-AR CSA</t>
  </si>
  <si>
    <t>Salt Lake City–Murray, UT MSA</t>
  </si>
  <si>
    <t>Salt Lake City–Provo–Orem, UT CSA</t>
  </si>
  <si>
    <t>Birmingham, AL MSA</t>
  </si>
  <si>
    <t>Birmingham–Cullman–Talladega, AL CSA</t>
  </si>
  <si>
    <t>Fresno, CA MSA</t>
  </si>
  <si>
    <t>Fresno–Hanford–Corcoran, CA CSA</t>
  </si>
  <si>
    <t>Grand Rapids–Wyoming–Kentwood, MI MSA</t>
  </si>
  <si>
    <t>Grand Rapids–Wyoming, MI CSA</t>
  </si>
  <si>
    <t>Hartford–West Hartford–East Hartford, CT MSA</t>
  </si>
  <si>
    <t>New Haven–Hartford–Waterbury, CT CSA</t>
  </si>
  <si>
    <t>Buffalo–Cheektowaga, NY MSA</t>
  </si>
  <si>
    <t>Buffalo–Cheektowaga–Olean, NY CSA</t>
  </si>
  <si>
    <t>Tucson, AZ MSA</t>
  </si>
  <si>
    <t>Tucson–Nogales, AZ CSA</t>
  </si>
  <si>
    <t>Tulsa, OK MSA</t>
  </si>
  <si>
    <t>Tulsa–Bartlesville–Muskogee, OK CSA</t>
  </si>
  <si>
    <t>Rochester, NY MSA</t>
  </si>
  <si>
    <t>Rochester–Batavia–Seneca Falls, NY CSA</t>
  </si>
  <si>
    <t>Omaha, NE-IA MSA</t>
  </si>
  <si>
    <t>Omaha–Fremont, NE-IA CSA</t>
  </si>
  <si>
    <t>Urban Honolulu, HI MSA</t>
  </si>
  <si>
    <t>Greenville–Anderson–Greer, SC MSA</t>
  </si>
  <si>
    <t>Greenville–Spartanburg–Anderson, SC CSA</t>
  </si>
  <si>
    <t>Bridgeport–Stamford–Danbury, CT MSA</t>
  </si>
  <si>
    <t>New Orleans–Metairie, LA MSA</t>
  </si>
  <si>
    <t>New Orleans–Metairie–Slidell, LA-MS CSA</t>
  </si>
  <si>
    <t>Knoxville, TN MSA</t>
  </si>
  <si>
    <t>Knoxville–Morristown–Sevierville, TN CSA</t>
  </si>
  <si>
    <t>North Port–Bradenton–Sarasota, FL MSA</t>
  </si>
  <si>
    <t>North Port–Bradenton, FL CSA</t>
  </si>
  <si>
    <t>Albuquerque, NM MSA</t>
  </si>
  <si>
    <t>Albuquerque–Santa Fe–Los Alamos, NM CSA</t>
  </si>
  <si>
    <t>Bakersfield–Delano, CA MSA</t>
  </si>
  <si>
    <t>McAllen–Edinburg–Mission, TX MSA</t>
  </si>
  <si>
    <t>McAllen–Edinburg, TX CSA</t>
  </si>
  <si>
    <t>Albany–Schenectady–Troy, NY MSA</t>
  </si>
  <si>
    <t>Albany–Schenectady, NY CSA</t>
  </si>
  <si>
    <t>Allentown–Bethlehem–Easton, PA-NJ MSA</t>
  </si>
  <si>
    <t>Allentown–Bethlehem–East Stroudsburg, PA-NJ CSA</t>
  </si>
  <si>
    <t>Baton Rouge, LA MSA</t>
  </si>
  <si>
    <t>Baton Rouge–Hammond, LA CSA</t>
  </si>
  <si>
    <t>Worcester, MA MSA</t>
  </si>
  <si>
    <t>El Paso, TX MSA</t>
  </si>
  <si>
    <t>El Paso–Las Cruces, TX-NM CSA</t>
  </si>
  <si>
    <t>Columbia, SC MSA</t>
  </si>
  <si>
    <t>Columbia–Sumter–Orangeburg, SC CSA</t>
  </si>
  <si>
    <t>Charleston–North Charleston, SC MSA</t>
  </si>
  <si>
    <t>Cape Coral–Fort Myers, FL MSA</t>
  </si>
  <si>
    <t>Cape Coral–Fort Myers–Naples, FL CSA</t>
  </si>
  <si>
    <t>Lakeland–Winter Haven, FL MSA</t>
  </si>
  <si>
    <t>Boise City, ID MSA</t>
  </si>
  <si>
    <t>Boise City–Mountain Home–Ontario, ID-OR CSA</t>
  </si>
  <si>
    <t>Oxnard–Thousand Oaks–Ventura, CA MSA</t>
  </si>
  <si>
    <t>Dayton–Kettering–Beavercreek, OH MSA</t>
  </si>
  <si>
    <t>Dayton–Springfield–Kettering, OH CSA</t>
  </si>
  <si>
    <t>Stockton–Lodi, CA MSA</t>
  </si>
  <si>
    <t>Greensboro–High Point, NC MSA</t>
  </si>
  <si>
    <t>Greensboro–Winston-Salem–High Point, NC CSA</t>
  </si>
  <si>
    <t>Colorado Springs, CO MSA</t>
  </si>
  <si>
    <t>Little Rock–North Little Rock–Conway, AR MSA</t>
  </si>
  <si>
    <t>Little Rock–North Little Rock, AR CSA</t>
  </si>
  <si>
    <t>Provo–Orem–Lehi, UT MSA</t>
  </si>
  <si>
    <t>Des Moines–West Des Moines, IA MSA</t>
  </si>
  <si>
    <t>Des Moines–West Des Moines–Ames, IA CSA</t>
  </si>
  <si>
    <t>Deltona–Daytona Beach–Ormond Beach, FL MSA</t>
  </si>
  <si>
    <t>Kiryas Joel–Poughkeepsie–Newburgh, NY MSA</t>
  </si>
  <si>
    <t>Madison, WI MSA</t>
  </si>
  <si>
    <t>Madison–Janesville–Beloit, WI CSA</t>
  </si>
  <si>
    <t>Winston-Salem, NC MSA</t>
  </si>
  <si>
    <t>Akron, OH MSA</t>
  </si>
  <si>
    <t>Ogden, UT MSA</t>
  </si>
  <si>
    <t>Wichita, KS MSA</t>
  </si>
  <si>
    <t>Wichita–Arkansas City–Winfield, KS CSA</t>
  </si>
  <si>
    <t>Palm Bay–Melbourne–Titusville, FL MSA</t>
  </si>
  <si>
    <t>Syracuse, NY MSA</t>
  </si>
  <si>
    <t>Syracuse–Auburn, NY CSA</t>
  </si>
  <si>
    <t>Augusta-Richmond County, GA-SC MSA</t>
  </si>
  <si>
    <t>Durham–Chapel Hill, NC MSA</t>
  </si>
  <si>
    <t>Harrisburg–Carlisle, PA MSA</t>
  </si>
  <si>
    <t>Harrisburg–York–Lebanon, PA CSA</t>
  </si>
  <si>
    <t>Jackson, MS MSA</t>
  </si>
  <si>
    <t>Jackson–Vicksburg–Brookhaven, MS CSA</t>
  </si>
  <si>
    <t>Fayetteville–Springdale–Rogers, AR MSA</t>
  </si>
  <si>
    <t>Spokane–Spokane Valley, WA MSA</t>
  </si>
  <si>
    <t>Spokane–Spokane Valley–Coeur d'Alene, WA-ID CSA</t>
  </si>
  <si>
    <t>Toledo, OH MSA</t>
  </si>
  <si>
    <t>Chattanooga, TN-GA MSA</t>
  </si>
  <si>
    <t>Chattanooga–Cleveland–Dalton, TN-GA-AL CSA</t>
  </si>
  <si>
    <t>New Haven, CT MSA</t>
  </si>
  <si>
    <t>Reno, NV MSA</t>
  </si>
  <si>
    <t>Reno–Carson City–Gardnerville Ranchos, NV-CA CSA</t>
  </si>
  <si>
    <t>Scranton–Wilkes-Barre, PA MSA</t>
  </si>
  <si>
    <t>Portland–South Portland, ME MSA</t>
  </si>
  <si>
    <t>Portland–Lewiston–South Portland, ME CSA</t>
  </si>
  <si>
    <t>Lancaster, PA MSA</t>
  </si>
  <si>
    <t>Modesto, CA MSA</t>
  </si>
  <si>
    <t>Port St. Lucie, FL MSA</t>
  </si>
  <si>
    <t>Huntsville, AL MSA</t>
  </si>
  <si>
    <t>Huntsville–Decatur–Albertville, AL-TN CSA</t>
  </si>
  <si>
    <t>Pensacola–Ferry Pass–Brent, FL MSA</t>
  </si>
  <si>
    <t>Lexington-Fayette, KY MSA</t>
  </si>
  <si>
    <t>Lexington-Fayette–Richmond–Frankfort, KY CSA</t>
  </si>
  <si>
    <t>Killeen–Temple, TX MSA</t>
  </si>
  <si>
    <t>Springfield, MO MSA</t>
  </si>
  <si>
    <t>Santa Rosa–Petaluma, CA MSA</t>
  </si>
  <si>
    <t>Visalia, CA MSA</t>
  </si>
  <si>
    <t>Wilmington, NC MSA</t>
  </si>
  <si>
    <t>Lansing–East Lansing, MI MSA</t>
  </si>
  <si>
    <t>Lansing–East Lansing–Owosso, MI CSA</t>
  </si>
  <si>
    <t>York–Hanover, PA MSA</t>
  </si>
  <si>
    <t>Springfield, MA MSA</t>
  </si>
  <si>
    <t>Springfield–Amherst Town–Northampton, MA CSA</t>
  </si>
  <si>
    <t>Fort Wayne, IN MSA</t>
  </si>
  <si>
    <t>Fort Wayne–Huntington–Auburn, IN CSA</t>
  </si>
  <si>
    <t>Waterbury–Shelton, CT MSA</t>
  </si>
  <si>
    <t>Vallejo, CA MSA</t>
  </si>
  <si>
    <t>Corpus Christi, TX MSA</t>
  </si>
  <si>
    <t>Corpus Christi–Kingsville–Alice, TX CSA</t>
  </si>
  <si>
    <t>Santa Maria–Santa Barbara, CA MSA</t>
  </si>
  <si>
    <t>Salem, OR MSA</t>
  </si>
  <si>
    <t>Reading, PA MSA</t>
  </si>
  <si>
    <t>Salinas, CA MSA</t>
  </si>
  <si>
    <t>Brownsville–Harlingen, TX MSA</t>
  </si>
  <si>
    <t>Brownsville–Harlingen–Raymondville, TX CSA</t>
  </si>
  <si>
    <t>Savannah, GA MSA</t>
  </si>
  <si>
    <t>Savannah–Hinesville–Statesboro, GA CSA</t>
  </si>
  <si>
    <t>Manchester–Nashua, NH MSA</t>
  </si>
  <si>
    <t>Ocala, FL MSA</t>
  </si>
  <si>
    <t>Gulfport–Biloxi, MS MSA</t>
  </si>
  <si>
    <t>Youngstown–Warren, OH MSA</t>
  </si>
  <si>
    <t>Youngstown–Warren–Salem, OH CSA</t>
  </si>
  <si>
    <t>Asheville, NC MSA</t>
  </si>
  <si>
    <t>Asheville–Waynesville–Brevard, NC CSA</t>
  </si>
  <si>
    <t>Lafayette, LA MSA</t>
  </si>
  <si>
    <t>Lafayette–New Iberia–Opelousas, LA CSA</t>
  </si>
  <si>
    <t>Naples–Marco Island, FL MSA</t>
  </si>
  <si>
    <t>Myrtle Beach–Conway–North Myrtle Beach, SC MSA</t>
  </si>
  <si>
    <t>Myrtle Beach–Conway, SC CSA</t>
  </si>
  <si>
    <t>Mobile, AL MSA</t>
  </si>
  <si>
    <t>Mobile–Daphne–Fairhope, AL CSA</t>
  </si>
  <si>
    <t>Anchorage, AK MSA</t>
  </si>
  <si>
    <t>Flint, MI MSA</t>
  </si>
  <si>
    <t>Canton–Massillon, OH MSA</t>
  </si>
  <si>
    <t>Beaumont–Port Arthur, TX MSA</t>
  </si>
  <si>
    <t>Tallahassee, FL MSA</t>
  </si>
  <si>
    <t>Tallahassee–Bainbridge, FL-GA CSA</t>
  </si>
  <si>
    <t>Spartanburg, SC MSA</t>
  </si>
  <si>
    <t>Fayetteville, NC MSA</t>
  </si>
  <si>
    <t>Fayetteville–Lumberton–Pinehurst, NC CSA</t>
  </si>
  <si>
    <t>Trenton–Princeton, NJ MSA</t>
  </si>
  <si>
    <t>Montgomery, AL MSA</t>
  </si>
  <si>
    <t>Montgomery–Selma, AL CSA</t>
  </si>
  <si>
    <t>Shreveport–Bossier City, LA MSA</t>
  </si>
  <si>
    <t>Shreveport–Bossier City–Minden, LA CSA</t>
  </si>
  <si>
    <t>Eugene–Springfield, OR MSA</t>
  </si>
  <si>
    <t>Davenport–Moline–Rock Island, IA-IL MSA</t>
  </si>
  <si>
    <t>Davenport–Moline, IA-IL CSA</t>
  </si>
  <si>
    <t>Fort Collins–Loveland, CO MSA</t>
  </si>
  <si>
    <t>Ann Arbor, MI MSA</t>
  </si>
  <si>
    <t>Hickory–Lenoir–Morganton, NC MSA</t>
  </si>
  <si>
    <t>Atlantic City–Hammonton, NJ MSA</t>
  </si>
  <si>
    <t>Greeley, CO MSA</t>
  </si>
  <si>
    <t>Lubbock, TX MSA</t>
  </si>
  <si>
    <t>Lubbock–Plainview, TX CSA</t>
  </si>
  <si>
    <t>Huntington–Ashland, WV-KY-OH MSA</t>
  </si>
  <si>
    <t>Charleston–Huntington–Ashland, WV-OH-KY CSA</t>
  </si>
  <si>
    <t>Peoria, IL MSA</t>
  </si>
  <si>
    <t>Peoria–Canton, IL CSA</t>
  </si>
  <si>
    <t>Gainesville, FL MSA</t>
  </si>
  <si>
    <t>Gainesville–Lake City, FL CSA</t>
  </si>
  <si>
    <t>Lincoln, NE MSA</t>
  </si>
  <si>
    <t>Lincoln–Beatrice, NE CSA</t>
  </si>
  <si>
    <t>Clarksville, TN-KY MSA</t>
  </si>
  <si>
    <t>Rockford, IL MSA</t>
  </si>
  <si>
    <t>Rockford–Freeport–Rochelle, IL CSA</t>
  </si>
  <si>
    <t>Green Bay, WI MSA</t>
  </si>
  <si>
    <t>Green Bay–Shawano, WI CSA</t>
  </si>
  <si>
    <t>Boulder, CO MSA</t>
  </si>
  <si>
    <t>South Bend–Mishawaka, IN-MI MSA</t>
  </si>
  <si>
    <t>South Bend–Elkhart–Mishawaka, IN-MI CSA</t>
  </si>
  <si>
    <t>Columbus, GA-AL MSA</t>
  </si>
  <si>
    <t>Columbus–Auburn–Opelika, GA-AL CSA</t>
  </si>
  <si>
    <t>Kennewick–Richland, WA MSA</t>
  </si>
  <si>
    <t>Kennewick–Richland–Walla Walla, WA CSA</t>
  </si>
  <si>
    <t>Roanoke, VA MSA</t>
  </si>
  <si>
    <t>Kingsport–Bristol, TN-VA MSA</t>
  </si>
  <si>
    <t>Johnson City–Kingsport–Bristol, TN-VA CSA</t>
  </si>
  <si>
    <t>Hagerstown–Martinsburg, MD-WV MSA</t>
  </si>
  <si>
    <t>Crestview–Fort Walton Beach–Destin, FL MSA</t>
  </si>
  <si>
    <t>Sioux Falls, SD-MN MSA</t>
  </si>
  <si>
    <t>Waco, TX MSA</t>
  </si>
  <si>
    <t>Olympia–Lacey–Tumwater, WA MSA</t>
  </si>
  <si>
    <t>Merced, CA MSA</t>
  </si>
  <si>
    <t>Longview, TX MSA</t>
  </si>
  <si>
    <t>Utica–Rome, NY MSA</t>
  </si>
  <si>
    <t>College Station–Bryan, TX MSA</t>
  </si>
  <si>
    <t>Norwich–New London–Willimantic, CT MSA</t>
  </si>
  <si>
    <t>Tuscaloosa, AL MSA</t>
  </si>
  <si>
    <t>San Luis Obispo–Paso Robles, CA MSA</t>
  </si>
  <si>
    <t>Duluth, MN-WI MSA</t>
  </si>
  <si>
    <t>Duluth–Grand Rapids, MN-WI CSA</t>
  </si>
  <si>
    <t>Bremerton–Silverdale–Port Orchard, WA MSA</t>
  </si>
  <si>
    <t>Cedar Rapids, IA MSA</t>
  </si>
  <si>
    <t>Cedar Rapids–Iowa City, IA CSA</t>
  </si>
  <si>
    <t>Slidell–Mandeville–Covington, LA MSA</t>
  </si>
  <si>
    <t>Amarillo, TX MSA</t>
  </si>
  <si>
    <t>Amarillo–Borger, TX CSA</t>
  </si>
  <si>
    <t>Laredo, TX MSA</t>
  </si>
  <si>
    <t>Evansville, IN MSA</t>
  </si>
  <si>
    <t>Evansville–Henderson, IN-KY CSA</t>
  </si>
  <si>
    <t>Fargo, ND-MN MSA</t>
  </si>
  <si>
    <t>Fargo–Wahpeton, ND-MN CSA</t>
  </si>
  <si>
    <t>Erie, PA MSA</t>
  </si>
  <si>
    <t>Erie–Meadville, PA CSA</t>
  </si>
  <si>
    <t>Lynchburg, VA MSA</t>
  </si>
  <si>
    <t>Kalamazoo–Portage, MI MSA</t>
  </si>
  <si>
    <t>Kalamazoo–Battle Creek–Portage, MI CSA</t>
  </si>
  <si>
    <t>Bend, OR MSA</t>
  </si>
  <si>
    <t>Santa Cruz–Watsonville, CA MSA</t>
  </si>
  <si>
    <t>Daphne–Fairhope–Foley, AL MSA</t>
  </si>
  <si>
    <t>Yakima, WA MSA</t>
  </si>
  <si>
    <t>Prescott Valley–Prescott, AZ MSA</t>
  </si>
  <si>
    <t>Tyler, TX MSA</t>
  </si>
  <si>
    <t>Tyler–Jacksonville, TX CSA</t>
  </si>
  <si>
    <t>Appleton, WI MSA</t>
  </si>
  <si>
    <t>Appleton–Oshkosh–Neenah, WI CSA</t>
  </si>
  <si>
    <t>Binghamton, NY MSA</t>
  </si>
  <si>
    <t>Lake Charles, LA MSA</t>
  </si>
  <si>
    <t>Lake Charles–DeRidder, LA CSA</t>
  </si>
  <si>
    <t>Champaign–Urbana, IL MSA</t>
  </si>
  <si>
    <t>Champaign–Urbana–Danville, IL CSA</t>
  </si>
  <si>
    <t>Macon-Bibb County, GA MSA</t>
  </si>
  <si>
    <t>Macon-Bibb County–Warner Robins, GA CSA</t>
  </si>
  <si>
    <t>Hilton Head Island–Bluffton–Port Royal, SC MSA</t>
  </si>
  <si>
    <t>Bellingham, WA MSA</t>
  </si>
  <si>
    <t>Fort Smith, AR-OK MSA</t>
  </si>
  <si>
    <t>Topeka, KS MSA</t>
  </si>
  <si>
    <t>Barnstable Town, MA MSA</t>
  </si>
  <si>
    <t>Rochester, MN MSA</t>
  </si>
  <si>
    <t>Rochester–Austin–Winona, MN CSA</t>
  </si>
  <si>
    <t>Lafayette–West Lafayette, IN MSA</t>
  </si>
  <si>
    <t>Lafayette–West Lafayette–Frankfort, IN CSA</t>
  </si>
  <si>
    <t>Burlington–South Burlington, VT MSA</t>
  </si>
  <si>
    <t>Burlington–South Burlington–Barre, VT CSA</t>
  </si>
  <si>
    <t>Las Cruces, NM MSA</t>
  </si>
  <si>
    <t>Charlottesville, VA MSA</t>
  </si>
  <si>
    <t>Lake Havasu City–Kingman, AZ MSA</t>
  </si>
  <si>
    <t>Panama City–Panama City Beach, FL MSA</t>
  </si>
  <si>
    <t>Athens-Clarke County, GA MSA</t>
  </si>
  <si>
    <t>Monroe, LA MSA</t>
  </si>
  <si>
    <t>Monroe–Ruston, LA CSA</t>
  </si>
  <si>
    <t>Gainesville, GA MSA</t>
  </si>
  <si>
    <t>Medford, OR MSA</t>
  </si>
  <si>
    <t>Medford–Grants Pass, OR CSA</t>
  </si>
  <si>
    <t>Yuma, AZ MSA</t>
  </si>
  <si>
    <t>Columbia, MO MSA</t>
  </si>
  <si>
    <t>Columbia–Jefferson City–Moberly, MO CSA</t>
  </si>
  <si>
    <t>Johnson City, TN MSA</t>
  </si>
  <si>
    <t>Jacksonville, NC MSA</t>
  </si>
  <si>
    <t>Punta Gorda, FL MSA</t>
  </si>
  <si>
    <t>Lexington Park, MD MSA</t>
  </si>
  <si>
    <t>Chico, CA MSA</t>
  </si>
  <si>
    <t>St. George, UT MSA</t>
  </si>
  <si>
    <t>Elkhart–Goshen, IN MSA</t>
  </si>
  <si>
    <t>Joplin, MO-KS MSA</t>
  </si>
  <si>
    <t>Joplin–Miami, MO-OK-KS CSA</t>
  </si>
  <si>
    <t>Springfield, IL MSA</t>
  </si>
  <si>
    <t>Springfield–Jacksonville–Lincoln, IL CSA</t>
  </si>
  <si>
    <t>Auburn–Opelika, AL MSA</t>
  </si>
  <si>
    <t>St. Cloud, MN MSA</t>
  </si>
  <si>
    <t>Warner Robins, GA MSA</t>
  </si>
  <si>
    <t>Charleston, WV MSA</t>
  </si>
  <si>
    <t>Florence, SC MSA</t>
  </si>
  <si>
    <t>Houma–Bayou Cane–Thibodaux, LA MSA</t>
  </si>
  <si>
    <t>Racine–Mount Pleasant, WI MSA</t>
  </si>
  <si>
    <t>Bowling Green, KY MSA</t>
  </si>
  <si>
    <t>Bowling Green–Glasgow–Franklin, KY CSA</t>
  </si>
  <si>
    <t>Dover, DE MSA</t>
  </si>
  <si>
    <t>Billings, MT MSA</t>
  </si>
  <si>
    <t>Midland, TX MSA</t>
  </si>
  <si>
    <t>Midland–Odessa–Andrews, TX CSA</t>
  </si>
  <si>
    <t>Coeur d'Alene, ID MSA</t>
  </si>
  <si>
    <t>Saginaw, MI MSA</t>
  </si>
  <si>
    <t>Saginaw–Midland–Bay City, MI CSA</t>
  </si>
  <si>
    <t>Yuba City, CA MSA</t>
  </si>
  <si>
    <t>Abilene, TX MSA</t>
  </si>
  <si>
    <t>Abilene–Sweetwater, TX CSA</t>
  </si>
  <si>
    <t>Jackson, TN MSA</t>
  </si>
  <si>
    <t>Burlington, NC MSA</t>
  </si>
  <si>
    <t>Kingston, NY MSA</t>
  </si>
  <si>
    <t>Iowa City, IA MSA</t>
  </si>
  <si>
    <t>Blacksburg–Christiansburg–Radford, VA MSA</t>
  </si>
  <si>
    <t>El Centro, CA MSA</t>
  </si>
  <si>
    <t>Redding, CA MSA</t>
  </si>
  <si>
    <t>Redding–Red Bluff, CA CSA</t>
  </si>
  <si>
    <t>Greenville, NC MSA</t>
  </si>
  <si>
    <t>Greenville–Washington, NC CSA</t>
  </si>
  <si>
    <t>Muskegon–Norton Shores, MI MSA</t>
  </si>
  <si>
    <t>Eau Claire, WI MSA</t>
  </si>
  <si>
    <t>Eau Claire–Menomonie, WI CSA</t>
  </si>
  <si>
    <t>Oshkosh–Neenah, WI MSA</t>
  </si>
  <si>
    <t>Sebastian–Vero Beach–West Vero Corridor, FL MSA</t>
  </si>
  <si>
    <t>Bloomington, IL MSA</t>
  </si>
  <si>
    <t>Bloomington–Pontiac, IL CSA</t>
  </si>
  <si>
    <t>Idaho Falls, ID MSA</t>
  </si>
  <si>
    <t>Idaho Falls–Rexburg–Blackfoot, ID CSA</t>
  </si>
  <si>
    <t>La Crosse–Onalaska, WI-MN MSA</t>
  </si>
  <si>
    <t>La Crosse–Onalaska–Sparta, WI-MN CSA</t>
  </si>
  <si>
    <t>Homosassa Springs, FL MSA</t>
  </si>
  <si>
    <t>Waterloo–Cedar Falls, IA MSA</t>
  </si>
  <si>
    <t>Odessa, TX MSA</t>
  </si>
  <si>
    <t>Pueblo, CO MSA</t>
  </si>
  <si>
    <t>Pueblo–Cañon City, CO CSA</t>
  </si>
  <si>
    <t>Terre Haute, IN MSA</t>
  </si>
  <si>
    <t>Kenosha, WI MSA</t>
  </si>
  <si>
    <t>Janesville–Beloit, WI MSA</t>
  </si>
  <si>
    <t>Amherst Town–Northampton, MA MSA</t>
  </si>
  <si>
    <t>Kahului–Wailuku, HI MSA</t>
  </si>
  <si>
    <t>Bloomington, IN MSA</t>
  </si>
  <si>
    <t>Bloomington–Bedford, IN CSA</t>
  </si>
  <si>
    <t>Grand Junction, CO MSA</t>
  </si>
  <si>
    <t>Logan, UT-ID MSA</t>
  </si>
  <si>
    <t>Jackson, MI MSA</t>
  </si>
  <si>
    <t>State College, PA MSA</t>
  </si>
  <si>
    <t>State College–DuBois, PA CSA</t>
  </si>
  <si>
    <t>Decatur, AL MSA</t>
  </si>
  <si>
    <t>Chambersburg, PA MSA</t>
  </si>
  <si>
    <t>Santa Fe, NM MSA</t>
  </si>
  <si>
    <t>Bangor, ME MSA</t>
  </si>
  <si>
    <t>Traverse City, MI MSA</t>
  </si>
  <si>
    <t>Hattiesburg, MS MSA</t>
  </si>
  <si>
    <t>Hattiesburg–Laurel, MS CSA</t>
  </si>
  <si>
    <t>Florence–Muscle Shoals, AL MSA</t>
  </si>
  <si>
    <t>Florence–Muscle Shoals–Russellville, AL CSA</t>
  </si>
  <si>
    <t>Rapid City, SD MSA</t>
  </si>
  <si>
    <t>Rapid City–Spearfish, SD CSA</t>
  </si>
  <si>
    <t>Monroe, MI MSA</t>
  </si>
  <si>
    <t>Vineland, NJ MSA</t>
  </si>
  <si>
    <t>Hanford–Corcoran, CA MSA</t>
  </si>
  <si>
    <t>Dothan, AL MSA</t>
  </si>
  <si>
    <t>Dothan–Enterprise–Ozark, AL CSA</t>
  </si>
  <si>
    <t>Wildwood–The Villages, FL MSA</t>
  </si>
  <si>
    <t>Niles, MI MSA</t>
  </si>
  <si>
    <t>Valdosta, GA MSA</t>
  </si>
  <si>
    <t>Jefferson City, MO MSA</t>
  </si>
  <si>
    <t>Sherman–Denison, TX MSA</t>
  </si>
  <si>
    <t>Wichita Falls, TX MSA</t>
  </si>
  <si>
    <t>Winchester, VA-WV MSA</t>
  </si>
  <si>
    <t>Alexandria, LA MSA</t>
  </si>
  <si>
    <t>Rocky Mount, NC MSA</t>
  </si>
  <si>
    <t>Rocky Mount–Wilson–Roanoke Rapids, NC CSA</t>
  </si>
  <si>
    <t>Dalton, GA MSA</t>
  </si>
  <si>
    <t>Sioux City, IA-NE-SD MSA</t>
  </si>
  <si>
    <t>Sioux City–Le Mars, IA-NE-SD CSA</t>
  </si>
  <si>
    <t>Texarkana, TX-AR MSA</t>
  </si>
  <si>
    <t>Albany, GA MSA</t>
  </si>
  <si>
    <t>Lebanon, PA MSA</t>
  </si>
  <si>
    <t>Flagstaff, AZ MSA</t>
  </si>
  <si>
    <t>Morgantown, WV MSA</t>
  </si>
  <si>
    <t>Hammond, LA MSA</t>
  </si>
  <si>
    <t>Bismarck, ND MSA</t>
  </si>
  <si>
    <t>Wausau, WI MSA</t>
  </si>
  <si>
    <t>Wausau–Stevens Point–Wisconsin Rapids, WI CSA</t>
  </si>
  <si>
    <t>Harrisonburg, VA MSA</t>
  </si>
  <si>
    <t>Harrisonburg–Staunton–Stuarts Draft, VA CSA</t>
  </si>
  <si>
    <t>Jonesboro, AR MSA</t>
  </si>
  <si>
    <t>Jonesboro–Paragould, AR CSA</t>
  </si>
  <si>
    <t>Wheeling, WV-OH MSA</t>
  </si>
  <si>
    <t>Springfield, OH MSA</t>
  </si>
  <si>
    <t>Manhattan, KS MSA</t>
  </si>
  <si>
    <t>Battle Creek, MI MSA</t>
  </si>
  <si>
    <t>Mount Vernon–Anacortes, WA MSA</t>
  </si>
  <si>
    <t>Napa, CA MSA</t>
  </si>
  <si>
    <t>Albany, OR MSA</t>
  </si>
  <si>
    <t>Cleveland, TN MSA</t>
  </si>
  <si>
    <t>Salisbury, MD MSA</t>
  </si>
  <si>
    <t>Salisbury–Ocean Pines, MD CSA</t>
  </si>
  <si>
    <t>Johnstown, PA MSA</t>
  </si>
  <si>
    <t>Johnstown–Somerset, PA CSA</t>
  </si>
  <si>
    <t>Ames, IA MSA</t>
  </si>
  <si>
    <t>Pittsfield, MA MSA</t>
  </si>
  <si>
    <t>Staunton–Stuarts Draft, VA MSA</t>
  </si>
  <si>
    <t>Elizabethtown, KY MSA</t>
  </si>
  <si>
    <t>Missoula, MT MSA</t>
  </si>
  <si>
    <t>Wenatchee–East Wenatchee, WA MSA</t>
  </si>
  <si>
    <t>Bozeman, MT MSA</t>
  </si>
  <si>
    <t>Morristown, TN MSA</t>
  </si>
  <si>
    <t>Lawton, OK MSA</t>
  </si>
  <si>
    <t>Lawton–Duncan, OK CSA</t>
  </si>
  <si>
    <t>Sierra Vista–Douglas, AZ MSA</t>
  </si>
  <si>
    <t>Glens Falls, NY MSA</t>
  </si>
  <si>
    <t>Mansfield, OH MSA</t>
  </si>
  <si>
    <t>Mansfield–Ashland–Bucyrus, OH CSA</t>
  </si>
  <si>
    <t>Twin Falls, ID MSA</t>
  </si>
  <si>
    <t>Lawrence, KS MSA</t>
  </si>
  <si>
    <t>San Angelo, TX MSA</t>
  </si>
  <si>
    <t>Farmington, NM MSA</t>
  </si>
  <si>
    <t>Goldsboro, NC MSA</t>
  </si>
  <si>
    <t>Altoona, PA MSA</t>
  </si>
  <si>
    <t>Altoona–Huntingdon, PA CSA</t>
  </si>
  <si>
    <t>St. Joseph, MO-KS MSA</t>
  </si>
  <si>
    <t>Sheboygan, WI MSA</t>
  </si>
  <si>
    <t>Brunswick–St. Simons, GA MSA</t>
  </si>
  <si>
    <t>Anniston–Oxford, AL MSA</t>
  </si>
  <si>
    <t>Lewiston–Auburn, ME MSA</t>
  </si>
  <si>
    <t>Longview–Kelso, WA MSA</t>
  </si>
  <si>
    <t>Owensboro, KY MSA</t>
  </si>
  <si>
    <t>Sandusky, OH MSA</t>
  </si>
  <si>
    <t>Weirton–Steubenville, WV-OH MSA</t>
  </si>
  <si>
    <t>Williamsport, PA MSA</t>
  </si>
  <si>
    <t>Williamsport–Lock Haven, PA CSA</t>
  </si>
  <si>
    <t>Watertown–Fort Drum, NY MSA</t>
  </si>
  <si>
    <t>Muncie, IN MSA</t>
  </si>
  <si>
    <t>Michigan City–La Porte, IN MSA</t>
  </si>
  <si>
    <t>Beckley, WV MSA</t>
  </si>
  <si>
    <t>Sebring, FL MSA</t>
  </si>
  <si>
    <t>Pinehurst–Southern Pines, NC MSA</t>
  </si>
  <si>
    <t>Gettysburg, PA MSA</t>
  </si>
  <si>
    <t>Kankakee, IL MSA</t>
  </si>
  <si>
    <t>Ithaca, NY MSA</t>
  </si>
  <si>
    <t>Ithaca–Cortland, NY CSA</t>
  </si>
  <si>
    <t>Mankato, MN MSA</t>
  </si>
  <si>
    <t>Mankato–New Ulm, MN CSA</t>
  </si>
  <si>
    <t>Sumter, SC MSA</t>
  </si>
  <si>
    <t>Fond du Lac, WI MSA</t>
  </si>
  <si>
    <t>Grand Forks, ND-MN MSA</t>
  </si>
  <si>
    <t>Gadsden, AL MSA</t>
  </si>
  <si>
    <t>Bay City, MI MSA</t>
  </si>
  <si>
    <t>Paducah, KY-IL MSA</t>
  </si>
  <si>
    <t>Paducah–Mayfield, KY-IL CSA</t>
  </si>
  <si>
    <t>Cheyenne, WY MSA</t>
  </si>
  <si>
    <t>Rome, GA MSA</t>
  </si>
  <si>
    <t>Lima, OH MSA</t>
  </si>
  <si>
    <t>Lima–Van Wert–Celina, OH CSA</t>
  </si>
  <si>
    <t>Decatur, IL MSA</t>
  </si>
  <si>
    <t>Hot Springs, AR MSA</t>
  </si>
  <si>
    <t>Hot Springs–Malvern, AR CSA</t>
  </si>
  <si>
    <t>Dubuque, IA MSA</t>
  </si>
  <si>
    <t>Victoria, TX MSA</t>
  </si>
  <si>
    <t>Victoria–Port Lavaca, TX CSA</t>
  </si>
  <si>
    <t>Corvallis, OR MSA</t>
  </si>
  <si>
    <t>Cape Girardeau, MO-IL MSA</t>
  </si>
  <si>
    <t>Cape Girardeau–Sikeston, MO-IL CSA</t>
  </si>
  <si>
    <t>Helena, MT MSA</t>
  </si>
  <si>
    <t>Fairbanks–College, AK MSA</t>
  </si>
  <si>
    <t>Pocatello, ID MSA</t>
  </si>
  <si>
    <t>Hinesville, GA MSA</t>
  </si>
  <si>
    <t>Grants Pass, OR MSA</t>
  </si>
  <si>
    <t>Parkersburg–Vienna, WV MSA</t>
  </si>
  <si>
    <t>Parkersburg–Marietta–Vienna, WV-OH CSA</t>
  </si>
  <si>
    <t>Columbus, IN MSA</t>
  </si>
  <si>
    <t>Great Falls, MT MSA</t>
  </si>
  <si>
    <t>Kokomo, IN MSA</t>
  </si>
  <si>
    <t>Midland, MI MSA</t>
  </si>
  <si>
    <t>Elmira, NY MSA</t>
  </si>
  <si>
    <t>Elmira–Corning, NY CSA</t>
  </si>
  <si>
    <t>Casper, WY MSA</t>
  </si>
  <si>
    <t>Grand Island, NE MSA</t>
  </si>
  <si>
    <t>Minot, ND MSA</t>
  </si>
  <si>
    <t>Lewiston, ID-WA MSA</t>
  </si>
  <si>
    <t>Walla Walla, WA MSA</t>
  </si>
  <si>
    <t>Kennewick–Richland-Walla Walla, WA CSA</t>
  </si>
  <si>
    <t>Enid, OK MSA</t>
  </si>
  <si>
    <t>Eagle Pass, TX MSA</t>
  </si>
  <si>
    <t>Carson City, NV MSA</t>
  </si>
  <si>
    <t>msa_name</t>
  </si>
  <si>
    <t>csa_name</t>
  </si>
  <si>
    <t>msa_id</t>
  </si>
  <si>
    <t>New York NY</t>
  </si>
  <si>
    <t>Los Angeles CA</t>
  </si>
  <si>
    <t>Chicago IL</t>
  </si>
  <si>
    <t>Dallas TX</t>
  </si>
  <si>
    <t>Houston TX</t>
  </si>
  <si>
    <t>Miami FL</t>
  </si>
  <si>
    <t>Washington DC</t>
  </si>
  <si>
    <t>Atlanta GA</t>
  </si>
  <si>
    <t>Philadelphia PA</t>
  </si>
  <si>
    <t>Phoenix AZ</t>
  </si>
  <si>
    <t>Boston MA</t>
  </si>
  <si>
    <t>Riverside CA</t>
  </si>
  <si>
    <t>San Francisco CA</t>
  </si>
  <si>
    <t>Detroit MI</t>
  </si>
  <si>
    <t>Seattle WA</t>
  </si>
  <si>
    <t>Minneapolis MN</t>
  </si>
  <si>
    <t>Tampa FL</t>
  </si>
  <si>
    <t>San Diego CA</t>
  </si>
  <si>
    <t>Denver CO</t>
  </si>
  <si>
    <t>Orlando FL</t>
  </si>
  <si>
    <t>Charlotte NC</t>
  </si>
  <si>
    <t>Baltimore MD</t>
  </si>
  <si>
    <t>St Louis MO</t>
  </si>
  <si>
    <t>San Antonio TX</t>
  </si>
  <si>
    <t>Austin TX</t>
  </si>
  <si>
    <t>Portland OR</t>
  </si>
  <si>
    <t>Sacramento CA</t>
  </si>
  <si>
    <t>Pittsburgh PA</t>
  </si>
  <si>
    <t>Las Vegas NV</t>
  </si>
  <si>
    <t>Cincinnati OH</t>
  </si>
  <si>
    <t>Kansas City MO</t>
  </si>
  <si>
    <t>Columbus OH</t>
  </si>
  <si>
    <t>Indianapolis IN</t>
  </si>
  <si>
    <t>Cleveland OH</t>
  </si>
  <si>
    <t>Nashville TN</t>
  </si>
  <si>
    <t>state_capital</t>
  </si>
  <si>
    <t>state_largest</t>
  </si>
  <si>
    <t>state_id</t>
  </si>
  <si>
    <t>NY</t>
  </si>
  <si>
    <t>CA</t>
  </si>
  <si>
    <t>IL</t>
  </si>
  <si>
    <t>San Jose CA</t>
  </si>
  <si>
    <t>Virginia Beach VA</t>
  </si>
  <si>
    <t>Jacksonville FL</t>
  </si>
  <si>
    <t>Providence RI</t>
  </si>
  <si>
    <t>Milwaukee WI</t>
  </si>
  <si>
    <t>Raleigh NC</t>
  </si>
  <si>
    <t>Oklahoma City OK</t>
  </si>
  <si>
    <t>Louisville KY</t>
  </si>
  <si>
    <t>Richmond VA</t>
  </si>
  <si>
    <t>Memphis TN</t>
  </si>
  <si>
    <t>Salt Lake City UT</t>
  </si>
  <si>
    <t>Birmingham AL</t>
  </si>
  <si>
    <t>GA</t>
  </si>
  <si>
    <t>PA</t>
  </si>
  <si>
    <t>AZ</t>
  </si>
  <si>
    <t>MA</t>
  </si>
  <si>
    <t>TX</t>
  </si>
  <si>
    <t>FL</t>
  </si>
  <si>
    <t>DC</t>
  </si>
  <si>
    <t>MI</t>
  </si>
  <si>
    <t>WA</t>
  </si>
  <si>
    <t>MN</t>
  </si>
  <si>
    <t>CO</t>
  </si>
  <si>
    <t>NC</t>
  </si>
  <si>
    <t>MD</t>
  </si>
  <si>
    <t>MO</t>
  </si>
  <si>
    <t>OR</t>
  </si>
  <si>
    <t>NV</t>
  </si>
  <si>
    <t>OH</t>
  </si>
  <si>
    <t>IN</t>
  </si>
  <si>
    <t>TN</t>
  </si>
  <si>
    <t>VA</t>
  </si>
  <si>
    <t>RI</t>
  </si>
  <si>
    <t>WI</t>
  </si>
  <si>
    <t>OK</t>
  </si>
  <si>
    <t>KY</t>
  </si>
  <si>
    <t>UT</t>
  </si>
  <si>
    <t>AL</t>
  </si>
  <si>
    <t>Fresno CA</t>
  </si>
  <si>
    <t>Grand Rapids MI</t>
  </si>
  <si>
    <t>Hartford CT</t>
  </si>
  <si>
    <t>CT</t>
  </si>
  <si>
    <t>Buffalo NY</t>
  </si>
  <si>
    <t>Tucson AZ</t>
  </si>
  <si>
    <t>Tulsa OK</t>
  </si>
  <si>
    <t>Rochester NY</t>
  </si>
  <si>
    <t>Omaha NE</t>
  </si>
  <si>
    <t>NE</t>
  </si>
  <si>
    <t>Honolulu HI</t>
  </si>
  <si>
    <t>HI</t>
  </si>
  <si>
    <t>Greenville SC</t>
  </si>
  <si>
    <t>SC</t>
  </si>
  <si>
    <t>Bridgeport CT</t>
  </si>
  <si>
    <t>New Orleans LA</t>
  </si>
  <si>
    <t>LA</t>
  </si>
  <si>
    <t>Knoxville TN</t>
  </si>
  <si>
    <t>North Port FL</t>
  </si>
  <si>
    <t>Albuquerque NM</t>
  </si>
  <si>
    <t>NM</t>
  </si>
  <si>
    <t>Bakersfield CA</t>
  </si>
  <si>
    <t>McAllen TX</t>
  </si>
  <si>
    <t>Albany NY</t>
  </si>
  <si>
    <t>Allentown PA</t>
  </si>
  <si>
    <t>Baton Rouge LA</t>
  </si>
  <si>
    <t>Worchester MA</t>
  </si>
  <si>
    <t>El Paso TX</t>
  </si>
  <si>
    <t>Columbia SC</t>
  </si>
  <si>
    <t>Charleston SC</t>
  </si>
  <si>
    <t>Cape Coral FL</t>
  </si>
  <si>
    <t>Lakeland FL</t>
  </si>
  <si>
    <t>Boise ID</t>
  </si>
  <si>
    <t>ID</t>
  </si>
  <si>
    <t>Oxnard CA</t>
  </si>
  <si>
    <t>Dayton OH</t>
  </si>
  <si>
    <t>Stockton CA</t>
  </si>
  <si>
    <t>Greensboro NC</t>
  </si>
  <si>
    <t>AR</t>
  </si>
  <si>
    <t>Provo UT</t>
  </si>
  <si>
    <t>Des Moines IA</t>
  </si>
  <si>
    <t>IA</t>
  </si>
  <si>
    <t>Deltona FL</t>
  </si>
  <si>
    <t>Kiryas Joel NY</t>
  </si>
  <si>
    <t>Madison WI</t>
  </si>
  <si>
    <t>Winston-Salem NC</t>
  </si>
  <si>
    <t>Akron OH</t>
  </si>
  <si>
    <t>Ogden UT</t>
  </si>
  <si>
    <t>KS</t>
  </si>
  <si>
    <t>Syracuse NY</t>
  </si>
  <si>
    <t>Palm Bay FL</t>
  </si>
  <si>
    <t>Augusta GA</t>
  </si>
  <si>
    <t>Durham NC</t>
  </si>
  <si>
    <t>Harrisburg PA</t>
  </si>
  <si>
    <t>Jackson MS</t>
  </si>
  <si>
    <t>MS</t>
  </si>
  <si>
    <t>Fayetteville AR</t>
  </si>
  <si>
    <t>Spokane WA</t>
  </si>
  <si>
    <t>Toledo OH</t>
  </si>
  <si>
    <t>Chattanooga TN</t>
  </si>
  <si>
    <t>New Haven CT</t>
  </si>
  <si>
    <t>Reno NV</t>
  </si>
  <si>
    <t>Scranton PA</t>
  </si>
  <si>
    <t>Portland ME</t>
  </si>
  <si>
    <t>ME</t>
  </si>
  <si>
    <t>Lancaster PA</t>
  </si>
  <si>
    <t>Modesto CA</t>
  </si>
  <si>
    <t>Port St Lucie FL</t>
  </si>
  <si>
    <t>Huntsville AL</t>
  </si>
  <si>
    <t>Pensacola FL</t>
  </si>
  <si>
    <t>NH</t>
  </si>
  <si>
    <t>Manchester NH</t>
  </si>
  <si>
    <t>AK</t>
  </si>
  <si>
    <t>Anchorage AK</t>
  </si>
  <si>
    <t>NJ</t>
  </si>
  <si>
    <t>Trenton NJ</t>
  </si>
  <si>
    <t>WV</t>
  </si>
  <si>
    <t>Huntington WV</t>
  </si>
  <si>
    <t>Lincoln NE</t>
  </si>
  <si>
    <t>Montgomery AL</t>
  </si>
  <si>
    <t>Tallahassee FL</t>
  </si>
  <si>
    <t>Salem OR</t>
  </si>
  <si>
    <t>Green Bay WI</t>
  </si>
  <si>
    <t>SD</t>
  </si>
  <si>
    <t>Sioux Falls SD</t>
  </si>
  <si>
    <t>Olympia WA</t>
  </si>
  <si>
    <t>ND</t>
  </si>
  <si>
    <t>Fargo ND</t>
  </si>
  <si>
    <t>Topeka KS</t>
  </si>
  <si>
    <t>VT</t>
  </si>
  <si>
    <t>Burlington VT</t>
  </si>
  <si>
    <t>Springfield IL</t>
  </si>
  <si>
    <t>Charleston WV</t>
  </si>
  <si>
    <t>DE</t>
  </si>
  <si>
    <t>Dover DE</t>
  </si>
  <si>
    <t>MT</t>
  </si>
  <si>
    <t>Billings MT</t>
  </si>
  <si>
    <t>Santa Fe NM</t>
  </si>
  <si>
    <t>Jefferson City MO</t>
  </si>
  <si>
    <t>Bismarck ND</t>
  </si>
  <si>
    <t>Carson City NV</t>
  </si>
  <si>
    <t>Helena MT</t>
  </si>
  <si>
    <t>WY</t>
  </si>
  <si>
    <t>Cheyenne WY</t>
  </si>
  <si>
    <t>San Juan PR</t>
  </si>
  <si>
    <t>PR</t>
  </si>
  <si>
    <t>San Juan-Bayamon-Caguas, PR MSA</t>
  </si>
  <si>
    <t>San Juan-Bayamon, PR CSA</t>
  </si>
  <si>
    <t>Juneau AK</t>
  </si>
  <si>
    <t>Juneau, AK</t>
  </si>
  <si>
    <t>Frankfort KY</t>
  </si>
  <si>
    <t>Frankfort, KY</t>
  </si>
  <si>
    <t>Augusta ME</t>
  </si>
  <si>
    <t>Augusta, ME</t>
  </si>
  <si>
    <t>Annapolis MD</t>
  </si>
  <si>
    <t>Annapolis, MD</t>
  </si>
  <si>
    <t>Lansing MI</t>
  </si>
  <si>
    <t>Concord NH</t>
  </si>
  <si>
    <t>Concord, NH</t>
  </si>
  <si>
    <t>Pierre SD</t>
  </si>
  <si>
    <t>Pierre, SD</t>
  </si>
  <si>
    <t>Montpelier, VT</t>
  </si>
  <si>
    <t>Montpelier VT</t>
  </si>
  <si>
    <t>population</t>
  </si>
  <si>
    <t>Statue of Liberty WHS</t>
  </si>
  <si>
    <t>special_interest</t>
  </si>
  <si>
    <t>Cahokia Mounds WHS</t>
  </si>
  <si>
    <t>San Antonio Mission WHS</t>
  </si>
  <si>
    <t>Everglades WHS (40mi)</t>
  </si>
  <si>
    <t>Carlsbad Caverns WHS (145mi)</t>
  </si>
  <si>
    <t>Bethlehem WHS (6mi)</t>
  </si>
  <si>
    <t>Smoky Mountains WHS (40mi)</t>
  </si>
  <si>
    <t>Taos Pueblos WHS (70mi)</t>
  </si>
  <si>
    <t>Grand Canyon WHS (80mi)</t>
  </si>
  <si>
    <t>Redwood WHS (70mi)</t>
  </si>
  <si>
    <t>Yosemite WHS (70mi)</t>
  </si>
  <si>
    <t>Olympic WHS (120mi)</t>
  </si>
  <si>
    <t>Yellowstone WHS (80mi)</t>
  </si>
  <si>
    <t>St Augustine</t>
  </si>
  <si>
    <t>Williamsburg</t>
  </si>
  <si>
    <t>Newport</t>
  </si>
  <si>
    <t>French Quarter</t>
  </si>
  <si>
    <t>Old Town, Georgetown</t>
  </si>
  <si>
    <t>Old San Juan</t>
  </si>
  <si>
    <t>Independence Hall WHS, Old City</t>
  </si>
  <si>
    <t>Historic District</t>
  </si>
  <si>
    <t>Santa Barbara, Solvang (30mi)</t>
  </si>
  <si>
    <t>Beacon Hill, Salem (20mi)</t>
  </si>
  <si>
    <t>Deadwood</t>
  </si>
  <si>
    <t>Virginia City, Lake Tahoe</t>
  </si>
  <si>
    <t>Old Sacramento</t>
  </si>
  <si>
    <t> Alabama</t>
  </si>
  <si>
    <t> Alaska</t>
  </si>
  <si>
    <t> Arizona</t>
  </si>
  <si>
    <t> Arkansas</t>
  </si>
  <si>
    <t> California</t>
  </si>
  <si>
    <t> Colorado</t>
  </si>
  <si>
    <t> Connecticut</t>
  </si>
  <si>
    <t> Delaware</t>
  </si>
  <si>
    <t> Florida</t>
  </si>
  <si>
    <t> Georgia</t>
  </si>
  <si>
    <t> Hawaii</t>
  </si>
  <si>
    <t> Idaho</t>
  </si>
  <si>
    <t> Illinois</t>
  </si>
  <si>
    <t> Indiana</t>
  </si>
  <si>
    <t> Iowa</t>
  </si>
  <si>
    <t> Kansas</t>
  </si>
  <si>
    <t> Louisiana</t>
  </si>
  <si>
    <t> Maine</t>
  </si>
  <si>
    <t> Maryland</t>
  </si>
  <si>
    <t> Michigan</t>
  </si>
  <si>
    <t> Minnesota</t>
  </si>
  <si>
    <t> Mississippi</t>
  </si>
  <si>
    <t> Missouri</t>
  </si>
  <si>
    <t> Montana</t>
  </si>
  <si>
    <t> Nebraska</t>
  </si>
  <si>
    <t> Nevada</t>
  </si>
  <si>
    <t> New Hampshire</t>
  </si>
  <si>
    <t> New Jersey</t>
  </si>
  <si>
    <t> New Mexico</t>
  </si>
  <si>
    <t> New York</t>
  </si>
  <si>
    <t> North Carolina</t>
  </si>
  <si>
    <t> North Dakota</t>
  </si>
  <si>
    <t> Ohio</t>
  </si>
  <si>
    <t> Oklahoma</t>
  </si>
  <si>
    <t> Oregon</t>
  </si>
  <si>
    <t> Rhode Island</t>
  </si>
  <si>
    <t> South Carolina</t>
  </si>
  <si>
    <t> South Dakota</t>
  </si>
  <si>
    <t> Tennessee</t>
  </si>
  <si>
    <t> Texas</t>
  </si>
  <si>
    <t> Utah</t>
  </si>
  <si>
    <t> Vermont</t>
  </si>
  <si>
    <t> Washington</t>
  </si>
  <si>
    <t> West Virginia</t>
  </si>
  <si>
    <t> Wisconsin</t>
  </si>
  <si>
    <t> Wyoming</t>
  </si>
  <si>
    <t>state_name</t>
  </si>
  <si>
    <t> Kentucky</t>
  </si>
  <si>
    <t> Massachusetts</t>
  </si>
  <si>
    <t> Pennsylvania</t>
  </si>
  <si>
    <t> Virginia</t>
  </si>
  <si>
    <t>Puerto Rico</t>
  </si>
  <si>
    <t>statehood</t>
  </si>
  <si>
    <t>District of Columbia</t>
  </si>
  <si>
    <t>Alaska</t>
  </si>
  <si>
    <t>Southeast</t>
  </si>
  <si>
    <t>Southwest</t>
  </si>
  <si>
    <t>SoEa</t>
  </si>
  <si>
    <t>region_id</t>
  </si>
  <si>
    <t>region_name</t>
  </si>
  <si>
    <t>SoWe</t>
  </si>
  <si>
    <t>CaNv</t>
  </si>
  <si>
    <t>NoEa</t>
  </si>
  <si>
    <t>Haii</t>
  </si>
  <si>
    <t>Alka</t>
  </si>
  <si>
    <t>MiWe</t>
  </si>
  <si>
    <t>NoWe</t>
  </si>
  <si>
    <t>PuRi</t>
  </si>
  <si>
    <t>is_contiguous</t>
  </si>
  <si>
    <t>Hawaii</t>
  </si>
  <si>
    <t>Northwest</t>
  </si>
  <si>
    <t>Midwest</t>
  </si>
  <si>
    <t>Northeast</t>
  </si>
  <si>
    <t>Calif. &amp; Nev.</t>
  </si>
  <si>
    <t>is_state</t>
  </si>
  <si>
    <t>Little Rock AR</t>
  </si>
  <si>
    <t>Bremerton WA</t>
  </si>
  <si>
    <t>Charlottesville VA</t>
  </si>
  <si>
    <t>Rapid City SD</t>
  </si>
  <si>
    <t>Fairbanks AK</t>
  </si>
  <si>
    <t>Grants Pass OR</t>
  </si>
  <si>
    <t>Asheville NC</t>
  </si>
  <si>
    <t>Bozeman MT</t>
  </si>
  <si>
    <t>Bowling Green KY</t>
  </si>
  <si>
    <t>Savannah GA</t>
  </si>
  <si>
    <t>Santa Barbara CA</t>
  </si>
  <si>
    <t>Flagstaff AZ</t>
  </si>
  <si>
    <t>Colorado Springs CO</t>
  </si>
  <si>
    <t>Casper WY</t>
  </si>
  <si>
    <t>Fort Collins CO</t>
  </si>
  <si>
    <t>Kahului HI</t>
  </si>
  <si>
    <t>Davenport IA</t>
  </si>
  <si>
    <t>Coeur dAlene ID</t>
  </si>
  <si>
    <t>Peoria IL</t>
  </si>
  <si>
    <t>Lexington KY</t>
  </si>
  <si>
    <t>Lafayette LA</t>
  </si>
  <si>
    <t>Springfield MA</t>
  </si>
  <si>
    <t>Hagerstown MD</t>
  </si>
  <si>
    <t>Bangor ME</t>
  </si>
  <si>
    <t>Duluth MN</t>
  </si>
  <si>
    <t>Rochester MN</t>
  </si>
  <si>
    <t>Springfield MO</t>
  </si>
  <si>
    <t>Gulfport MS</t>
  </si>
  <si>
    <t>Missoula MT</t>
  </si>
  <si>
    <t>Wilmington NC</t>
  </si>
  <si>
    <t>Grand Forks ND</t>
  </si>
  <si>
    <t>Grand Island NE</t>
  </si>
  <si>
    <t>Atlantic City NJ</t>
  </si>
  <si>
    <t>Las Cruces NM</t>
  </si>
  <si>
    <t>Lawton OK</t>
  </si>
  <si>
    <t>Eugene OR</t>
  </si>
  <si>
    <t>Killeen TX</t>
  </si>
  <si>
    <t>St George UT</t>
  </si>
  <si>
    <t>Roanoke VA</t>
  </si>
  <si>
    <t>Kennewick WA</t>
  </si>
  <si>
    <t>Appleton WI</t>
  </si>
  <si>
    <t>Morgantown WV</t>
  </si>
  <si>
    <t>Mobile AL</t>
  </si>
  <si>
    <t>Salinas CA</t>
  </si>
  <si>
    <t>Santa Rosa CA</t>
  </si>
  <si>
    <t>Visalia CA</t>
  </si>
  <si>
    <t>Vallejo CA</t>
  </si>
  <si>
    <t>Ocala FL</t>
  </si>
  <si>
    <t>Naples FL</t>
  </si>
  <si>
    <t>Rockford IL</t>
  </si>
  <si>
    <t>Champaign IL</t>
  </si>
  <si>
    <t>Fort Wayne IN</t>
  </si>
  <si>
    <t>South Bend IN</t>
  </si>
  <si>
    <t>Elizabethtown KY</t>
  </si>
  <si>
    <t>Owensboro KY</t>
  </si>
  <si>
    <t>Paducah KY</t>
  </si>
  <si>
    <t>Manhattan KS</t>
  </si>
  <si>
    <t>Lawrence KS</t>
  </si>
  <si>
    <t>Lexington Park MD</t>
  </si>
  <si>
    <t>Salisburg MD</t>
  </si>
  <si>
    <t>Lewiston ME</t>
  </si>
  <si>
    <t>Barnstable Town MA</t>
  </si>
  <si>
    <t>Amherst MA</t>
  </si>
  <si>
    <t>Pittsfield MA</t>
  </si>
  <si>
    <t>St Cloud MN</t>
  </si>
  <si>
    <t>Mankato MN</t>
  </si>
  <si>
    <t>Hattiesburg MS</t>
  </si>
  <si>
    <t>Great Falls MT</t>
  </si>
  <si>
    <t>Columbia MO</t>
  </si>
  <si>
    <t>Joplin MO</t>
  </si>
  <si>
    <t>St Joseph MO</t>
  </si>
  <si>
    <t>Cape Girardeau MO</t>
  </si>
  <si>
    <t>Minot ND</t>
  </si>
  <si>
    <t>Vineland NJ</t>
  </si>
  <si>
    <t>Farmington NM</t>
  </si>
  <si>
    <t>Enid OK</t>
  </si>
  <si>
    <t>photo_count</t>
  </si>
  <si>
    <t>miles_walked</t>
  </si>
  <si>
    <t>Ann Arbor MI</t>
  </si>
  <si>
    <t>photo_latest</t>
  </si>
  <si>
    <t>Alaska gold rush</t>
  </si>
  <si>
    <t>Tuscaloosa AL</t>
  </si>
  <si>
    <t>Daphne AL</t>
  </si>
  <si>
    <t>Auburn AL</t>
  </si>
  <si>
    <t>Decatur AL</t>
  </si>
  <si>
    <t>Florence AL</t>
  </si>
  <si>
    <t>Dothan AL</t>
  </si>
  <si>
    <t>Gadsden AL</t>
  </si>
  <si>
    <t>Anniston AL</t>
  </si>
  <si>
    <t>Fort Smith AR</t>
  </si>
  <si>
    <t>Jonesboro AR</t>
  </si>
  <si>
    <t>Hot Springs AR</t>
  </si>
  <si>
    <t>Prescott Valley AZ</t>
  </si>
  <si>
    <t>Lake Havasu AZ</t>
  </si>
  <si>
    <t>Yuma AZ</t>
  </si>
  <si>
    <t>Sierra Vista AZ</t>
  </si>
  <si>
    <t>San Luis Obispo CA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</si>
  <si>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</si>
  <si>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</si>
  <si>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</si>
  <si>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</si>
  <si>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</si>
  <si>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</si>
  <si>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</si>
  <si>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</si>
  <si>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</si>
  <si>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</si>
  <si>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</si>
  <si>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</si>
  <si>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Eureka CA</t>
  </si>
  <si>
    <t>Sonora CA</t>
  </si>
  <si>
    <t>Key West FL</t>
  </si>
  <si>
    <t>Port Angeles WA</t>
  </si>
  <si>
    <t>Coeur d'Alene ID</t>
  </si>
  <si>
    <t>Wichita KS</t>
  </si>
  <si>
    <t>Taos NM</t>
  </si>
  <si>
    <t>York PA</t>
  </si>
  <si>
    <t>Waterbury CT</t>
  </si>
  <si>
    <t>Corpus Christi TX</t>
  </si>
  <si>
    <t>Reading PA</t>
  </si>
  <si>
    <t>Brownsville TX</t>
  </si>
  <si>
    <t>Youngstown OH</t>
  </si>
  <si>
    <t>Myrtle Beach SC</t>
  </si>
  <si>
    <t>Flint MI</t>
  </si>
  <si>
    <t>Canton OH</t>
  </si>
  <si>
    <t>Beaumont TX</t>
  </si>
  <si>
    <t>Spartanburg SC</t>
  </si>
  <si>
    <t>Fayetteville NC</t>
  </si>
  <si>
    <t>Shreveport LA</t>
  </si>
  <si>
    <t>Hickory NC</t>
  </si>
  <si>
    <t>Greeley CO</t>
  </si>
  <si>
    <t>Lubbock TX</t>
  </si>
  <si>
    <t>Gainesville FL</t>
  </si>
  <si>
    <t>Clarksville TN</t>
  </si>
  <si>
    <t>Boulder CO</t>
  </si>
  <si>
    <t>Columbus GA</t>
  </si>
  <si>
    <t>Kingsport TN</t>
  </si>
  <si>
    <t>Crestview FL</t>
  </si>
  <si>
    <t>Waco TX</t>
  </si>
  <si>
    <t>Longview TX</t>
  </si>
  <si>
    <t>Utica NY</t>
  </si>
  <si>
    <t>College Station TX</t>
  </si>
  <si>
    <t>Norwich CT</t>
  </si>
  <si>
    <t>Cedar Rapids IA</t>
  </si>
  <si>
    <t>Slidell LA</t>
  </si>
  <si>
    <t>Amarillo TX</t>
  </si>
  <si>
    <t>Laredo TX</t>
  </si>
  <si>
    <t>Evansville IN</t>
  </si>
  <si>
    <t>Eric PA</t>
  </si>
  <si>
    <t>Lynchburg VA</t>
  </si>
  <si>
    <t>Kalamazoo MI</t>
  </si>
  <si>
    <t>Bend OR</t>
  </si>
  <si>
    <t>Santa Cruz CA</t>
  </si>
  <si>
    <t>Yakima WA</t>
  </si>
  <si>
    <t>Tyler TX</t>
  </si>
  <si>
    <t>Binghamton NY</t>
  </si>
  <si>
    <t>Lake Charles LA</t>
  </si>
  <si>
    <t>Macon GA</t>
  </si>
  <si>
    <t>Hilton Head SC</t>
  </si>
  <si>
    <t>Bellingham WA</t>
  </si>
  <si>
    <t>Lafayette IN</t>
  </si>
  <si>
    <t>Panama City FL</t>
  </si>
  <si>
    <t>Athens GA</t>
  </si>
  <si>
    <t>Monroe LA</t>
  </si>
  <si>
    <t>Gainesville GA</t>
  </si>
  <si>
    <t>Medford OR</t>
  </si>
  <si>
    <t>Johnson City TN</t>
  </si>
  <si>
    <t>Jacksonville NC</t>
  </si>
  <si>
    <t>Punta Gorda FL</t>
  </si>
  <si>
    <t>Chico CA</t>
  </si>
  <si>
    <t>Warner Robins GA</t>
  </si>
  <si>
    <t>Florence SC</t>
  </si>
  <si>
    <t>Midland TX</t>
  </si>
  <si>
    <t>Saginaw MI</t>
  </si>
  <si>
    <t>Yuba City CA</t>
  </si>
  <si>
    <t>Abilene TX</t>
  </si>
  <si>
    <t>Jackson TN</t>
  </si>
  <si>
    <t>Burlington NC</t>
  </si>
  <si>
    <t>Kingston NY</t>
  </si>
  <si>
    <t>Iowa City IA</t>
  </si>
  <si>
    <t>El Centro CA</t>
  </si>
  <si>
    <t>Redding CA</t>
  </si>
  <si>
    <t>Greenville NC</t>
  </si>
  <si>
    <t>Eau Claire WI</t>
  </si>
  <si>
    <t>Bloomington IL</t>
  </si>
  <si>
    <t>Idaho Falls ID</t>
  </si>
  <si>
    <t>Homosassa Springs FL</t>
  </si>
  <si>
    <t>Odessa TX</t>
  </si>
  <si>
    <t>Pueblo CO</t>
  </si>
  <si>
    <t>Terre Haute IN</t>
  </si>
  <si>
    <t>Kenosha WI</t>
  </si>
  <si>
    <t>Bloomington IN</t>
  </si>
  <si>
    <t>Grand Junction CO</t>
  </si>
  <si>
    <t>Logan UT-ID</t>
  </si>
  <si>
    <t>Jackson MI</t>
  </si>
  <si>
    <t>State College PA</t>
  </si>
  <si>
    <t>Chambersburg PA</t>
  </si>
  <si>
    <t>Traverse City MI</t>
  </si>
  <si>
    <t>Monroe MI</t>
  </si>
  <si>
    <t>Niles MI</t>
  </si>
  <si>
    <t>Valdosta GA</t>
  </si>
  <si>
    <t>Wichita Falls TX</t>
  </si>
  <si>
    <t>Alexandria LA</t>
  </si>
  <si>
    <t>Rocky Mount NC</t>
  </si>
  <si>
    <t>Dalton GA</t>
  </si>
  <si>
    <t>Albany GA</t>
  </si>
  <si>
    <t>Lebanon PA</t>
  </si>
  <si>
    <t>Hammond LA</t>
  </si>
  <si>
    <t>Wausau WI</t>
  </si>
  <si>
    <t>Harrisonburg VA</t>
  </si>
  <si>
    <t>Springfield OH</t>
  </si>
  <si>
    <t>Battle Creek MI</t>
  </si>
  <si>
    <t>Napa CA</t>
  </si>
  <si>
    <t>Albany OR</t>
  </si>
  <si>
    <t>Cleveland TN</t>
  </si>
  <si>
    <t>Johnstown PA</t>
  </si>
  <si>
    <t>Ames IA</t>
  </si>
  <si>
    <t>Morristown TN</t>
  </si>
  <si>
    <t>Glens Falls NY</t>
  </si>
  <si>
    <t>Mansfield OH</t>
  </si>
  <si>
    <t>Twin Falls ID</t>
  </si>
  <si>
    <t>San Angelo TX</t>
  </si>
  <si>
    <t>Goldsboro NC</t>
  </si>
  <si>
    <t>Altoona PA</t>
  </si>
  <si>
    <t>Sheboygan WI</t>
  </si>
  <si>
    <t>Sandusky OH</t>
  </si>
  <si>
    <t>Williamsport PA</t>
  </si>
  <si>
    <t>Muncie IN</t>
  </si>
  <si>
    <t>Beckley WV</t>
  </si>
  <si>
    <t>Sebring FL</t>
  </si>
  <si>
    <t>Gettysburg PA</t>
  </si>
  <si>
    <t>Kankakee IL</t>
  </si>
  <si>
    <t>Ithaca NY</t>
  </si>
  <si>
    <t>Sumter SC</t>
  </si>
  <si>
    <t>Fond du Lac WI</t>
  </si>
  <si>
    <t>Bay City MI</t>
  </si>
  <si>
    <t>Rome GA</t>
  </si>
  <si>
    <t>Lima OH</t>
  </si>
  <si>
    <t>Decatur IL</t>
  </si>
  <si>
    <t>Dubuque IA</t>
  </si>
  <si>
    <t>Victoria TX</t>
  </si>
  <si>
    <t>Corvallis OR</t>
  </si>
  <si>
    <t>Pocatello ID</t>
  </si>
  <si>
    <t>Hinesville GA</t>
  </si>
  <si>
    <t>Columbus IN</t>
  </si>
  <si>
    <t>Kokomo IN</t>
  </si>
  <si>
    <t>Midland MI</t>
  </si>
  <si>
    <t>Elmira NY</t>
  </si>
  <si>
    <t>Walla Walla WA</t>
  </si>
  <si>
    <t>Eagle Pass TX</t>
  </si>
  <si>
    <t>Houma LA</t>
  </si>
  <si>
    <t>Elkhart IN</t>
  </si>
  <si>
    <t>Racine WI</t>
  </si>
  <si>
    <t>Blacksburg VA</t>
  </si>
  <si>
    <t>Muskegon MI</t>
  </si>
  <si>
    <t>Oshkosh WI</t>
  </si>
  <si>
    <t>Sebastian FL</t>
  </si>
  <si>
    <t>La Crosse WI</t>
  </si>
  <si>
    <t>Waterloo IA</t>
  </si>
  <si>
    <t>Janesville WI</t>
  </si>
  <si>
    <t>Hanford CA</t>
  </si>
  <si>
    <t>Wildwood FL</t>
  </si>
  <si>
    <t>Sherman TX</t>
  </si>
  <si>
    <t>Winchester VA</t>
  </si>
  <si>
    <t>Sioux City IA</t>
  </si>
  <si>
    <t>Texarkana TX</t>
  </si>
  <si>
    <t>Wheeling WV</t>
  </si>
  <si>
    <t>Mount Vernon WA</t>
  </si>
  <si>
    <t>Staunton VA</t>
  </si>
  <si>
    <t>Wenatchee WA</t>
  </si>
  <si>
    <t>Brunswick GA</t>
  </si>
  <si>
    <t>Longview WA</t>
  </si>
  <si>
    <t>Weirton WV</t>
  </si>
  <si>
    <t>Watertown NY</t>
  </si>
  <si>
    <t>Michigan City IN</t>
  </si>
  <si>
    <t>Pinehurst NC</t>
  </si>
  <si>
    <t>Parkersburg WV</t>
  </si>
  <si>
    <t>Lewiston ID</t>
  </si>
  <si>
    <t>longitude</t>
  </si>
  <si>
    <t>latitude</t>
  </si>
  <si>
    <t>capital_msa</t>
  </si>
  <si>
    <t>trip_id</t>
  </si>
  <si>
    <t>trip_name</t>
  </si>
  <si>
    <t>Appalachia</t>
  </si>
  <si>
    <t>mega_city</t>
  </si>
  <si>
    <t>Mega City</t>
  </si>
  <si>
    <t>UVA / Montecello WHS</t>
  </si>
  <si>
    <t>cnt</t>
  </si>
  <si>
    <t>2024-High-Plains</t>
  </si>
  <si>
    <t>2023-Florida</t>
  </si>
  <si>
    <t>2023-DelMarVa</t>
  </si>
  <si>
    <t>2023-Southeast</t>
  </si>
  <si>
    <t>2022-New-Mexico</t>
  </si>
  <si>
    <t>2022-Lake-Michigan</t>
  </si>
  <si>
    <t>2021-SoCal-Vegas</t>
  </si>
  <si>
    <t>2021-Lower-Midwest</t>
  </si>
  <si>
    <t>2021-Camp-Wedding</t>
  </si>
  <si>
    <t>2021-New-England</t>
  </si>
  <si>
    <t>2017-Cross-Country</t>
  </si>
  <si>
    <t>2016-Pacific-Coast</t>
  </si>
  <si>
    <t>2014-Cross-Country</t>
  </si>
  <si>
    <t>2024 High Plains Roadtrip</t>
  </si>
  <si>
    <t>2023 Florida Winter Roadtrip</t>
  </si>
  <si>
    <t>2023 DelMarVa Peninsula Roadtrip</t>
  </si>
  <si>
    <t>2023 Southeast Roadtrip</t>
  </si>
  <si>
    <t>2022 New Mexico Roadtrip</t>
  </si>
  <si>
    <t>2022 Lake Michigan Roadtrip</t>
  </si>
  <si>
    <t>2021 SoCal and Vegas Roadtrip</t>
  </si>
  <si>
    <t>2021 Lower Midwest Roadtrip</t>
  </si>
  <si>
    <t>2021 New England Roadtrip</t>
  </si>
  <si>
    <t>2017 East Cross-country Roadtrip</t>
  </si>
  <si>
    <t>2016 Pacific Coast Roadtrip</t>
  </si>
  <si>
    <t>2014 West Cross-country Roadtrip</t>
  </si>
  <si>
    <t>Acadia NP, Bar Harbor</t>
  </si>
  <si>
    <t>Ocean City NJ</t>
  </si>
  <si>
    <t>Ocean City, NJ MSA</t>
  </si>
  <si>
    <t>Painted Rocks Natl Lakeshore</t>
  </si>
  <si>
    <t>Theo. Roosevelt Natl Park</t>
  </si>
  <si>
    <t>Ocean City MD</t>
  </si>
  <si>
    <t>2021-Virginia</t>
  </si>
  <si>
    <t>2021 Virginia Roadtrip</t>
  </si>
  <si>
    <t>trip_start</t>
  </si>
  <si>
    <t>trip_end</t>
  </si>
  <si>
    <t>2021 Camp Wedding Roadtrip</t>
  </si>
  <si>
    <t>is_goal</t>
  </si>
  <si>
    <t>msa_start</t>
  </si>
  <si>
    <t>msa_end</t>
  </si>
  <si>
    <t>alt_lon</t>
  </si>
  <si>
    <t>alt_lat</t>
  </si>
  <si>
    <t>alt_name</t>
  </si>
  <si>
    <t>Merced CA</t>
  </si>
  <si>
    <t>order</t>
  </si>
  <si>
    <t>origin</t>
  </si>
  <si>
    <t>segment_id</t>
  </si>
  <si>
    <t>East Coast Resort Town</t>
  </si>
  <si>
    <t>Second City</t>
  </si>
  <si>
    <t>Shoshone Falls</t>
  </si>
  <si>
    <t>Also see Natchez</t>
  </si>
  <si>
    <t>elevation</t>
  </si>
  <si>
    <t>University town, Colonial town</t>
  </si>
  <si>
    <t>University town</t>
  </si>
  <si>
    <t>Second city</t>
  </si>
  <si>
    <t>is_legacy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</si>
</sst>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8"/>
      <name val="Aptos Narrow"/>
      <family val="2"/>
      <scheme val="minor"/>
    </font>
    <font>
      <sz val="12"/>
      <color theme="8"/>
      <name val="Aptos Narrow"/>
      <scheme val="minor"/>
    </font>
    <font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15" fontId="2" fillId="0" borderId="0" xfId="0" applyNumberFormat="1" applyFont="1"/>
    <xf numFmtId="1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Fill="1" applyAlignment="1">
      <alignment horizontal="left"/>
    </xf>
    <xf numFmtId="43" fontId="0" fillId="0" borderId="0" xfId="1" applyFont="1" applyFill="1" applyAlignment="1">
      <alignment horizontal="left"/>
    </xf>
    <xf numFmtId="164" fontId="0" fillId="0" borderId="0" xfId="1" applyNumberFormat="1" applyFont="1" applyFill="1"/>
    <xf numFmtId="43" fontId="0" fillId="0" borderId="0" xfId="1" applyFont="1" applyFill="1"/>
    <xf numFmtId="1" fontId="0" fillId="0" borderId="0" xfId="0" applyNumberFormat="1"/>
    <xf numFmtId="0" fontId="4" fillId="0" borderId="0" xfId="0" applyFont="1"/>
    <xf numFmtId="0" fontId="0" fillId="2" borderId="0" xfId="0" applyFill="1"/>
    <xf numFmtId="14" fontId="5" fillId="0" borderId="0" xfId="0" applyNumberFormat="1" applyFont="1"/>
    <xf numFmtId="14" fontId="2" fillId="0" borderId="0" xfId="0" applyNumberFormat="1" applyFont="1"/>
    <xf numFmtId="14" fontId="6" fillId="0" borderId="0" xfId="0" applyNumberFormat="1" applyFont="1"/>
    <xf numFmtId="14" fontId="7" fillId="0" borderId="0" xfId="0" applyNumberFormat="1" applyFont="1"/>
    <xf numFmtId="0" fontId="5" fillId="0" borderId="0" xfId="0" applyFont="1"/>
    <xf numFmtId="165" fontId="0" fillId="0" borderId="0" xfId="0" applyNumberFormat="1"/>
    <xf numFmtId="165" fontId="2" fillId="0" borderId="0" xfId="0" applyNumberFormat="1" applyFont="1"/>
    <xf numFmtId="165" fontId="8" fillId="0" borderId="0" xfId="0" applyNumberFormat="1" applyFont="1"/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3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AAA2-2DAA-D444-BC75-BF6DB11A5470}"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baseColWidth="10" defaultRowHeight="16" x14ac:dyDescent="0.2"/>
  <cols>
    <col min="1" max="1" width="8.5" bestFit="1" customWidth="1"/>
    <col min="2" max="2" width="11.5" bestFit="1" customWidth="1"/>
    <col min="3" max="3" width="12.1640625" bestFit="1" customWidth="1"/>
  </cols>
  <sheetData>
    <row r="1" spans="1:3" x14ac:dyDescent="0.2">
      <c r="A1" t="s">
        <v>838</v>
      </c>
      <c r="B1" t="s">
        <v>839</v>
      </c>
      <c r="C1" t="s">
        <v>848</v>
      </c>
    </row>
    <row r="2" spans="1:3" x14ac:dyDescent="0.2">
      <c r="A2" t="s">
        <v>844</v>
      </c>
      <c r="B2" t="s">
        <v>834</v>
      </c>
      <c r="C2">
        <v>0</v>
      </c>
    </row>
    <row r="3" spans="1:3" x14ac:dyDescent="0.2">
      <c r="A3" t="s">
        <v>841</v>
      </c>
      <c r="B3" t="s">
        <v>853</v>
      </c>
      <c r="C3">
        <v>1</v>
      </c>
    </row>
    <row r="4" spans="1:3" x14ac:dyDescent="0.2">
      <c r="A4" t="s">
        <v>843</v>
      </c>
      <c r="B4" t="s">
        <v>849</v>
      </c>
      <c r="C4">
        <v>0</v>
      </c>
    </row>
    <row r="5" spans="1:3" x14ac:dyDescent="0.2">
      <c r="A5" t="s">
        <v>845</v>
      </c>
      <c r="B5" t="s">
        <v>851</v>
      </c>
      <c r="C5">
        <v>1</v>
      </c>
    </row>
    <row r="6" spans="1:3" x14ac:dyDescent="0.2">
      <c r="A6" t="s">
        <v>842</v>
      </c>
      <c r="B6" t="s">
        <v>852</v>
      </c>
      <c r="C6">
        <v>1</v>
      </c>
    </row>
    <row r="7" spans="1:3" x14ac:dyDescent="0.2">
      <c r="A7" t="s">
        <v>846</v>
      </c>
      <c r="B7" t="s">
        <v>850</v>
      </c>
      <c r="C7">
        <v>1</v>
      </c>
    </row>
    <row r="8" spans="1:3" x14ac:dyDescent="0.2">
      <c r="A8" t="s">
        <v>847</v>
      </c>
      <c r="B8" t="s">
        <v>831</v>
      </c>
      <c r="C8">
        <v>0</v>
      </c>
    </row>
    <row r="9" spans="1:3" x14ac:dyDescent="0.2">
      <c r="A9" t="s">
        <v>837</v>
      </c>
      <c r="B9" t="s">
        <v>835</v>
      </c>
      <c r="C9">
        <v>1</v>
      </c>
    </row>
    <row r="10" spans="1:3" x14ac:dyDescent="0.2">
      <c r="A10" t="s">
        <v>840</v>
      </c>
      <c r="B10" t="s">
        <v>836</v>
      </c>
      <c r="C10">
        <v>1</v>
      </c>
    </row>
  </sheetData>
  <sortState xmlns:xlrd2="http://schemas.microsoft.com/office/spreadsheetml/2017/richdata2" ref="A2:C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6F74-518A-5046-A708-32A1E165FF17}">
  <dimension ref="A1:F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8" sqref="D58"/>
    </sheetView>
  </sheetViews>
  <sheetFormatPr baseColWidth="10" defaultRowHeight="16" x14ac:dyDescent="0.2"/>
  <cols>
    <col min="1" max="1" width="7.6640625" bestFit="1" customWidth="1"/>
    <col min="2" max="2" width="17.5" bestFit="1" customWidth="1"/>
    <col min="3" max="3" width="9.33203125" bestFit="1" customWidth="1"/>
    <col min="4" max="4" width="8.5" bestFit="1" customWidth="1"/>
    <col min="5" max="5" width="7.5" bestFit="1" customWidth="1"/>
    <col min="6" max="6" width="16" bestFit="1" customWidth="1"/>
  </cols>
  <sheetData>
    <row r="1" spans="1:6" x14ac:dyDescent="0.2">
      <c r="A1" s="2" t="s">
        <v>587</v>
      </c>
      <c r="B1" s="2" t="s">
        <v>826</v>
      </c>
      <c r="C1" s="2" t="s">
        <v>832</v>
      </c>
      <c r="D1" s="2" t="s">
        <v>838</v>
      </c>
      <c r="E1" s="2" t="s">
        <v>854</v>
      </c>
      <c r="F1" s="2" t="s">
        <v>1135</v>
      </c>
    </row>
    <row r="2" spans="1:6" x14ac:dyDescent="0.2">
      <c r="A2" s="2" t="s">
        <v>701</v>
      </c>
      <c r="B2" s="2" t="s">
        <v>781</v>
      </c>
      <c r="C2" s="2">
        <v>1959</v>
      </c>
      <c r="D2" s="2" t="s">
        <v>844</v>
      </c>
      <c r="E2" s="2">
        <f t="shared" ref="E2:E33" si="0">IF(C2&gt;0,1,0)</f>
        <v>1</v>
      </c>
      <c r="F2" s="2" t="s">
        <v>737</v>
      </c>
    </row>
    <row r="3" spans="1:6" x14ac:dyDescent="0.2">
      <c r="A3" s="2" t="s">
        <v>628</v>
      </c>
      <c r="B3" s="2" t="s">
        <v>780</v>
      </c>
      <c r="C3" s="2">
        <v>1819</v>
      </c>
      <c r="D3" s="2" t="s">
        <v>837</v>
      </c>
      <c r="E3" s="2">
        <f t="shared" si="0"/>
        <v>1</v>
      </c>
      <c r="F3" s="2" t="s">
        <v>708</v>
      </c>
    </row>
    <row r="4" spans="1:6" x14ac:dyDescent="0.2">
      <c r="A4" s="2" t="s">
        <v>667</v>
      </c>
      <c r="B4" s="2" t="s">
        <v>783</v>
      </c>
      <c r="C4" s="2">
        <v>1836</v>
      </c>
      <c r="D4" s="2" t="s">
        <v>837</v>
      </c>
      <c r="E4" s="2">
        <f t="shared" si="0"/>
        <v>1</v>
      </c>
      <c r="F4" s="2" t="s">
        <v>855</v>
      </c>
    </row>
    <row r="5" spans="1:6" x14ac:dyDescent="0.2">
      <c r="A5" s="2" t="s">
        <v>605</v>
      </c>
      <c r="B5" s="2" t="s">
        <v>782</v>
      </c>
      <c r="C5" s="2">
        <v>1912</v>
      </c>
      <c r="D5" s="2" t="s">
        <v>840</v>
      </c>
      <c r="E5" s="2">
        <f t="shared" si="0"/>
        <v>1</v>
      </c>
      <c r="F5" s="2" t="s">
        <v>559</v>
      </c>
    </row>
    <row r="6" spans="1:6" x14ac:dyDescent="0.2">
      <c r="A6" s="2" t="s">
        <v>589</v>
      </c>
      <c r="B6" s="2" t="s">
        <v>784</v>
      </c>
      <c r="C6" s="2">
        <v>1850</v>
      </c>
      <c r="D6" s="2" t="s">
        <v>841</v>
      </c>
      <c r="E6" s="2">
        <f t="shared" si="0"/>
        <v>1</v>
      </c>
      <c r="F6" s="2" t="s">
        <v>576</v>
      </c>
    </row>
    <row r="7" spans="1:6" x14ac:dyDescent="0.2">
      <c r="A7" s="2" t="s">
        <v>613</v>
      </c>
      <c r="B7" s="2" t="s">
        <v>785</v>
      </c>
      <c r="C7" s="2">
        <v>1876</v>
      </c>
      <c r="D7" s="2" t="s">
        <v>840</v>
      </c>
      <c r="E7" s="2">
        <f t="shared" si="0"/>
        <v>1</v>
      </c>
      <c r="F7" s="2" t="s">
        <v>568</v>
      </c>
    </row>
    <row r="8" spans="1:6" x14ac:dyDescent="0.2">
      <c r="A8" s="2" t="s">
        <v>632</v>
      </c>
      <c r="B8" s="2" t="s">
        <v>786</v>
      </c>
      <c r="C8" s="2">
        <v>1788</v>
      </c>
      <c r="D8" s="2" t="s">
        <v>842</v>
      </c>
      <c r="E8" s="2">
        <f t="shared" si="0"/>
        <v>1</v>
      </c>
      <c r="F8" s="2" t="s">
        <v>631</v>
      </c>
    </row>
    <row r="9" spans="1:6" x14ac:dyDescent="0.2">
      <c r="A9" s="2" t="s">
        <v>609</v>
      </c>
      <c r="B9" s="2" t="s">
        <v>833</v>
      </c>
      <c r="C9" s="2">
        <v>-1</v>
      </c>
      <c r="D9" s="2" t="s">
        <v>837</v>
      </c>
      <c r="E9" s="2">
        <f t="shared" si="0"/>
        <v>0</v>
      </c>
      <c r="F9" s="2" t="s">
        <v>556</v>
      </c>
    </row>
    <row r="10" spans="1:6" x14ac:dyDescent="0.2">
      <c r="A10" s="2" t="s">
        <v>722</v>
      </c>
      <c r="B10" s="2" t="s">
        <v>787</v>
      </c>
      <c r="C10" s="2">
        <v>1787</v>
      </c>
      <c r="D10" s="2" t="s">
        <v>837</v>
      </c>
      <c r="E10" s="2">
        <f t="shared" si="0"/>
        <v>1</v>
      </c>
      <c r="F10" s="2" t="s">
        <v>723</v>
      </c>
    </row>
    <row r="11" spans="1:6" x14ac:dyDescent="0.2">
      <c r="A11" s="2" t="s">
        <v>608</v>
      </c>
      <c r="B11" s="2" t="s">
        <v>788</v>
      </c>
      <c r="C11" s="2">
        <v>1845</v>
      </c>
      <c r="D11" s="2" t="s">
        <v>837</v>
      </c>
      <c r="E11" s="2">
        <f t="shared" si="0"/>
        <v>1</v>
      </c>
      <c r="F11" s="2" t="s">
        <v>709</v>
      </c>
    </row>
    <row r="12" spans="1:6" x14ac:dyDescent="0.2">
      <c r="A12" s="2" t="s">
        <v>603</v>
      </c>
      <c r="B12" s="2" t="s">
        <v>789</v>
      </c>
      <c r="C12" s="2">
        <v>1788</v>
      </c>
      <c r="D12" s="2" t="s">
        <v>837</v>
      </c>
      <c r="E12" s="2">
        <f t="shared" si="0"/>
        <v>1</v>
      </c>
      <c r="F12" s="2" t="s">
        <v>557</v>
      </c>
    </row>
    <row r="13" spans="1:6" x14ac:dyDescent="0.2">
      <c r="A13" s="2" t="s">
        <v>640</v>
      </c>
      <c r="B13" s="2" t="s">
        <v>790</v>
      </c>
      <c r="C13" s="2">
        <v>1959</v>
      </c>
      <c r="D13" s="2" t="s">
        <v>843</v>
      </c>
      <c r="E13" s="2">
        <f t="shared" si="0"/>
        <v>1</v>
      </c>
      <c r="F13" s="2" t="s">
        <v>639</v>
      </c>
    </row>
    <row r="14" spans="1:6" x14ac:dyDescent="0.2">
      <c r="A14" s="2" t="s">
        <v>670</v>
      </c>
      <c r="B14" s="2" t="s">
        <v>794</v>
      </c>
      <c r="C14" s="2">
        <v>1846</v>
      </c>
      <c r="D14" s="2" t="s">
        <v>845</v>
      </c>
      <c r="E14" s="2">
        <f t="shared" si="0"/>
        <v>1</v>
      </c>
      <c r="F14" s="2" t="s">
        <v>669</v>
      </c>
    </row>
    <row r="15" spans="1:6" x14ac:dyDescent="0.2">
      <c r="A15" s="2" t="s">
        <v>662</v>
      </c>
      <c r="B15" s="2" t="s">
        <v>791</v>
      </c>
      <c r="C15" s="2">
        <v>1890</v>
      </c>
      <c r="D15" s="2" t="s">
        <v>846</v>
      </c>
      <c r="E15" s="2">
        <f t="shared" si="0"/>
        <v>1</v>
      </c>
      <c r="F15" s="2" t="s">
        <v>661</v>
      </c>
    </row>
    <row r="16" spans="1:6" x14ac:dyDescent="0.2">
      <c r="A16" s="2" t="s">
        <v>590</v>
      </c>
      <c r="B16" s="2" t="s">
        <v>792</v>
      </c>
      <c r="C16" s="2">
        <v>1818</v>
      </c>
      <c r="D16" s="2" t="s">
        <v>845</v>
      </c>
      <c r="E16" s="2">
        <f t="shared" si="0"/>
        <v>1</v>
      </c>
      <c r="F16" s="2" t="s">
        <v>720</v>
      </c>
    </row>
    <row r="17" spans="1:6" x14ac:dyDescent="0.2">
      <c r="A17" s="2" t="s">
        <v>620</v>
      </c>
      <c r="B17" s="2" t="s">
        <v>793</v>
      </c>
      <c r="C17" s="2">
        <v>1816</v>
      </c>
      <c r="D17" s="2" t="s">
        <v>845</v>
      </c>
      <c r="E17" s="2">
        <f t="shared" si="0"/>
        <v>1</v>
      </c>
      <c r="F17" s="2" t="s">
        <v>582</v>
      </c>
    </row>
    <row r="18" spans="1:6" x14ac:dyDescent="0.2">
      <c r="A18" s="2" t="s">
        <v>677</v>
      </c>
      <c r="B18" s="2" t="s">
        <v>795</v>
      </c>
      <c r="C18" s="2">
        <v>1861</v>
      </c>
      <c r="D18" s="2" t="s">
        <v>845</v>
      </c>
      <c r="E18" s="2">
        <f t="shared" si="0"/>
        <v>1</v>
      </c>
      <c r="F18" s="2" t="s">
        <v>717</v>
      </c>
    </row>
    <row r="19" spans="1:6" x14ac:dyDescent="0.2">
      <c r="A19" s="2" t="s">
        <v>626</v>
      </c>
      <c r="B19" s="2" t="s">
        <v>827</v>
      </c>
      <c r="C19" s="2">
        <v>1792</v>
      </c>
      <c r="D19" s="2" t="s">
        <v>837</v>
      </c>
      <c r="E19" s="2">
        <f t="shared" si="0"/>
        <v>1</v>
      </c>
      <c r="F19" s="2" t="s">
        <v>739</v>
      </c>
    </row>
    <row r="20" spans="1:6" x14ac:dyDescent="0.2">
      <c r="A20" s="2" t="s">
        <v>645</v>
      </c>
      <c r="B20" s="2" t="s">
        <v>796</v>
      </c>
      <c r="C20" s="2">
        <v>1812</v>
      </c>
      <c r="D20" s="2" t="s">
        <v>837</v>
      </c>
      <c r="E20" s="2">
        <f t="shared" si="0"/>
        <v>1</v>
      </c>
      <c r="F20" s="2" t="s">
        <v>654</v>
      </c>
    </row>
    <row r="21" spans="1:6" x14ac:dyDescent="0.2">
      <c r="A21" s="2" t="s">
        <v>606</v>
      </c>
      <c r="B21" s="2" t="s">
        <v>828</v>
      </c>
      <c r="C21" s="2">
        <v>1788</v>
      </c>
      <c r="D21" s="2" t="s">
        <v>842</v>
      </c>
      <c r="E21" s="2">
        <f t="shared" si="0"/>
        <v>1</v>
      </c>
      <c r="F21" s="2" t="s">
        <v>560</v>
      </c>
    </row>
    <row r="22" spans="1:6" x14ac:dyDescent="0.2">
      <c r="A22" s="2" t="s">
        <v>615</v>
      </c>
      <c r="B22" s="2" t="s">
        <v>798</v>
      </c>
      <c r="C22" s="2">
        <v>1788</v>
      </c>
      <c r="D22" s="2" t="s">
        <v>837</v>
      </c>
      <c r="E22" s="2">
        <f t="shared" si="0"/>
        <v>1</v>
      </c>
      <c r="F22" s="2" t="s">
        <v>743</v>
      </c>
    </row>
    <row r="23" spans="1:6" x14ac:dyDescent="0.2">
      <c r="A23" s="2" t="s">
        <v>693</v>
      </c>
      <c r="B23" s="2" t="s">
        <v>797</v>
      </c>
      <c r="C23" s="2">
        <v>1820</v>
      </c>
      <c r="D23" s="2" t="s">
        <v>842</v>
      </c>
      <c r="E23" s="2">
        <f t="shared" si="0"/>
        <v>1</v>
      </c>
      <c r="F23" s="2" t="s">
        <v>741</v>
      </c>
    </row>
    <row r="24" spans="1:6" x14ac:dyDescent="0.2">
      <c r="A24" s="2" t="s">
        <v>610</v>
      </c>
      <c r="B24" s="2" t="s">
        <v>799</v>
      </c>
      <c r="C24" s="2">
        <v>1837</v>
      </c>
      <c r="D24" s="2" t="s">
        <v>845</v>
      </c>
      <c r="E24" s="2">
        <f t="shared" si="0"/>
        <v>1</v>
      </c>
      <c r="F24" s="2" t="s">
        <v>745</v>
      </c>
    </row>
    <row r="25" spans="1:6" x14ac:dyDescent="0.2">
      <c r="A25" s="2" t="s">
        <v>612</v>
      </c>
      <c r="B25" s="2" t="s">
        <v>800</v>
      </c>
      <c r="C25" s="2">
        <v>1858</v>
      </c>
      <c r="D25" s="2" t="s">
        <v>845</v>
      </c>
      <c r="E25" s="2">
        <f t="shared" si="0"/>
        <v>1</v>
      </c>
      <c r="F25" s="2" t="s">
        <v>565</v>
      </c>
    </row>
    <row r="26" spans="1:6" x14ac:dyDescent="0.2">
      <c r="A26" s="2" t="s">
        <v>616</v>
      </c>
      <c r="B26" s="2" t="s">
        <v>802</v>
      </c>
      <c r="C26" s="2">
        <v>1821</v>
      </c>
      <c r="D26" s="2" t="s">
        <v>845</v>
      </c>
      <c r="E26" s="2">
        <f t="shared" si="0"/>
        <v>1</v>
      </c>
      <c r="F26" s="2" t="s">
        <v>727</v>
      </c>
    </row>
    <row r="27" spans="1:6" x14ac:dyDescent="0.2">
      <c r="A27" s="2" t="s">
        <v>684</v>
      </c>
      <c r="B27" s="2" t="s">
        <v>801</v>
      </c>
      <c r="C27" s="2">
        <v>1817</v>
      </c>
      <c r="D27" s="2" t="s">
        <v>837</v>
      </c>
      <c r="E27" s="2">
        <f t="shared" si="0"/>
        <v>1</v>
      </c>
      <c r="F27" s="2" t="s">
        <v>683</v>
      </c>
    </row>
    <row r="28" spans="1:6" x14ac:dyDescent="0.2">
      <c r="A28" s="2" t="s">
        <v>724</v>
      </c>
      <c r="B28" s="2" t="s">
        <v>803</v>
      </c>
      <c r="C28" s="2">
        <v>1889</v>
      </c>
      <c r="D28" s="2" t="s">
        <v>846</v>
      </c>
      <c r="E28" s="2">
        <f t="shared" si="0"/>
        <v>1</v>
      </c>
      <c r="F28" s="2" t="s">
        <v>730</v>
      </c>
    </row>
    <row r="29" spans="1:6" x14ac:dyDescent="0.2">
      <c r="A29" s="2" t="s">
        <v>614</v>
      </c>
      <c r="B29" s="2" t="s">
        <v>810</v>
      </c>
      <c r="C29" s="2">
        <v>1789</v>
      </c>
      <c r="D29" s="2" t="s">
        <v>837</v>
      </c>
      <c r="E29" s="2">
        <f t="shared" si="0"/>
        <v>1</v>
      </c>
      <c r="F29" s="2" t="s">
        <v>596</v>
      </c>
    </row>
    <row r="30" spans="1:6" x14ac:dyDescent="0.2">
      <c r="A30" s="2" t="s">
        <v>715</v>
      </c>
      <c r="B30" s="2" t="s">
        <v>811</v>
      </c>
      <c r="C30" s="2">
        <v>1889</v>
      </c>
      <c r="D30" s="2" t="s">
        <v>845</v>
      </c>
      <c r="E30" s="2">
        <f t="shared" si="0"/>
        <v>1</v>
      </c>
      <c r="F30" s="2" t="s">
        <v>728</v>
      </c>
    </row>
    <row r="31" spans="1:6" x14ac:dyDescent="0.2">
      <c r="A31" s="2" t="s">
        <v>638</v>
      </c>
      <c r="B31" s="2" t="s">
        <v>804</v>
      </c>
      <c r="C31" s="2">
        <v>1867</v>
      </c>
      <c r="D31" s="2" t="s">
        <v>845</v>
      </c>
      <c r="E31" s="2">
        <f t="shared" si="0"/>
        <v>1</v>
      </c>
      <c r="F31" s="2" t="s">
        <v>707</v>
      </c>
    </row>
    <row r="32" spans="1:6" x14ac:dyDescent="0.2">
      <c r="A32" s="2" t="s">
        <v>699</v>
      </c>
      <c r="B32" s="2" t="s">
        <v>806</v>
      </c>
      <c r="C32" s="2">
        <v>1788</v>
      </c>
      <c r="D32" s="2" t="s">
        <v>842</v>
      </c>
      <c r="E32" s="2">
        <f t="shared" si="0"/>
        <v>1</v>
      </c>
      <c r="F32" s="2" t="s">
        <v>746</v>
      </c>
    </row>
    <row r="33" spans="1:6" x14ac:dyDescent="0.2">
      <c r="A33" s="2" t="s">
        <v>703</v>
      </c>
      <c r="B33" s="2" t="s">
        <v>807</v>
      </c>
      <c r="C33" s="2">
        <v>1787</v>
      </c>
      <c r="D33" s="2" t="s">
        <v>842</v>
      </c>
      <c r="E33" s="2">
        <f t="shared" si="0"/>
        <v>1</v>
      </c>
      <c r="F33" s="2" t="s">
        <v>704</v>
      </c>
    </row>
    <row r="34" spans="1:6" x14ac:dyDescent="0.2">
      <c r="A34" s="2" t="s">
        <v>649</v>
      </c>
      <c r="B34" s="2" t="s">
        <v>808</v>
      </c>
      <c r="C34" s="2">
        <v>1912</v>
      </c>
      <c r="D34" s="2" t="s">
        <v>840</v>
      </c>
      <c r="E34" s="2">
        <f t="shared" ref="E34:E53" si="1">IF(C34&gt;0,1,0)</f>
        <v>1</v>
      </c>
      <c r="F34" s="2" t="s">
        <v>726</v>
      </c>
    </row>
    <row r="35" spans="1:6" x14ac:dyDescent="0.2">
      <c r="A35" s="2" t="s">
        <v>618</v>
      </c>
      <c r="B35" s="2" t="s">
        <v>805</v>
      </c>
      <c r="C35" s="2">
        <v>1864</v>
      </c>
      <c r="D35" s="2" t="s">
        <v>841</v>
      </c>
      <c r="E35" s="2">
        <f t="shared" si="1"/>
        <v>1</v>
      </c>
      <c r="F35" s="2" t="s">
        <v>729</v>
      </c>
    </row>
    <row r="36" spans="1:6" x14ac:dyDescent="0.2">
      <c r="A36" s="2" t="s">
        <v>588</v>
      </c>
      <c r="B36" s="2" t="s">
        <v>809</v>
      </c>
      <c r="C36" s="2">
        <v>1788</v>
      </c>
      <c r="D36" s="2" t="s">
        <v>842</v>
      </c>
      <c r="E36" s="2">
        <f t="shared" si="1"/>
        <v>1</v>
      </c>
      <c r="F36" s="2" t="s">
        <v>652</v>
      </c>
    </row>
    <row r="37" spans="1:6" x14ac:dyDescent="0.2">
      <c r="A37" s="2" t="s">
        <v>619</v>
      </c>
      <c r="B37" s="2" t="s">
        <v>812</v>
      </c>
      <c r="C37" s="2">
        <v>1803</v>
      </c>
      <c r="D37" s="3" t="s">
        <v>845</v>
      </c>
      <c r="E37" s="2">
        <f t="shared" si="1"/>
        <v>1</v>
      </c>
      <c r="F37" s="2" t="s">
        <v>581</v>
      </c>
    </row>
    <row r="38" spans="1:6" x14ac:dyDescent="0.2">
      <c r="A38" s="2" t="s">
        <v>625</v>
      </c>
      <c r="B38" s="2" t="s">
        <v>813</v>
      </c>
      <c r="C38" s="2">
        <v>1907</v>
      </c>
      <c r="D38" s="2" t="s">
        <v>840</v>
      </c>
      <c r="E38" s="2">
        <f t="shared" si="1"/>
        <v>1</v>
      </c>
      <c r="F38" s="2" t="s">
        <v>597</v>
      </c>
    </row>
    <row r="39" spans="1:6" x14ac:dyDescent="0.2">
      <c r="A39" s="2" t="s">
        <v>617</v>
      </c>
      <c r="B39" s="2" t="s">
        <v>814</v>
      </c>
      <c r="C39" s="2">
        <v>1859</v>
      </c>
      <c r="D39" s="2" t="s">
        <v>846</v>
      </c>
      <c r="E39" s="2">
        <f t="shared" si="1"/>
        <v>1</v>
      </c>
      <c r="F39" s="2" t="s">
        <v>710</v>
      </c>
    </row>
    <row r="40" spans="1:6" x14ac:dyDescent="0.2">
      <c r="A40" s="2" t="s">
        <v>604</v>
      </c>
      <c r="B40" s="2" t="s">
        <v>829</v>
      </c>
      <c r="C40" s="2">
        <v>1787</v>
      </c>
      <c r="D40" s="2" t="s">
        <v>842</v>
      </c>
      <c r="E40" s="2">
        <f t="shared" si="1"/>
        <v>1</v>
      </c>
      <c r="F40" s="2" t="s">
        <v>682</v>
      </c>
    </row>
    <row r="41" spans="1:6" x14ac:dyDescent="0.2">
      <c r="A41" s="2" t="s">
        <v>734</v>
      </c>
      <c r="B41" s="2" t="s">
        <v>831</v>
      </c>
      <c r="C41" s="2">
        <v>-1</v>
      </c>
      <c r="D41" s="2" t="s">
        <v>847</v>
      </c>
      <c r="E41" s="2">
        <f t="shared" si="1"/>
        <v>0</v>
      </c>
      <c r="F41" s="2" t="s">
        <v>733</v>
      </c>
    </row>
    <row r="42" spans="1:6" x14ac:dyDescent="0.2">
      <c r="A42" s="2" t="s">
        <v>623</v>
      </c>
      <c r="B42" s="2" t="s">
        <v>815</v>
      </c>
      <c r="C42" s="2">
        <v>1790</v>
      </c>
      <c r="D42" s="2" t="s">
        <v>842</v>
      </c>
      <c r="E42" s="2">
        <f t="shared" si="1"/>
        <v>1</v>
      </c>
      <c r="F42" s="2" t="s">
        <v>594</v>
      </c>
    </row>
    <row r="43" spans="1:6" x14ac:dyDescent="0.2">
      <c r="A43" s="2" t="s">
        <v>642</v>
      </c>
      <c r="B43" s="2" t="s">
        <v>816</v>
      </c>
      <c r="C43" s="2">
        <v>1788</v>
      </c>
      <c r="D43" s="2" t="s">
        <v>837</v>
      </c>
      <c r="E43" s="2">
        <f t="shared" si="1"/>
        <v>1</v>
      </c>
      <c r="F43" s="2" t="s">
        <v>657</v>
      </c>
    </row>
    <row r="44" spans="1:6" x14ac:dyDescent="0.2">
      <c r="A44" s="2" t="s">
        <v>712</v>
      </c>
      <c r="B44" s="2" t="s">
        <v>817</v>
      </c>
      <c r="C44" s="2">
        <v>1889</v>
      </c>
      <c r="D44" s="2" t="s">
        <v>845</v>
      </c>
      <c r="E44" s="2">
        <f t="shared" si="1"/>
        <v>1</v>
      </c>
      <c r="F44" s="2" t="s">
        <v>748</v>
      </c>
    </row>
    <row r="45" spans="1:6" x14ac:dyDescent="0.2">
      <c r="A45" s="2" t="s">
        <v>621</v>
      </c>
      <c r="B45" s="2" t="s">
        <v>818</v>
      </c>
      <c r="C45" s="2">
        <v>1796</v>
      </c>
      <c r="D45" s="2" t="s">
        <v>837</v>
      </c>
      <c r="E45" s="2">
        <f t="shared" si="1"/>
        <v>1</v>
      </c>
      <c r="F45" s="2" t="s">
        <v>584</v>
      </c>
    </row>
    <row r="46" spans="1:6" x14ac:dyDescent="0.2">
      <c r="A46" s="2" t="s">
        <v>607</v>
      </c>
      <c r="B46" s="2" t="s">
        <v>819</v>
      </c>
      <c r="C46" s="2">
        <v>1845</v>
      </c>
      <c r="D46" s="2" t="s">
        <v>840</v>
      </c>
      <c r="E46" s="2">
        <f t="shared" si="1"/>
        <v>1</v>
      </c>
      <c r="F46" s="2" t="s">
        <v>574</v>
      </c>
    </row>
    <row r="47" spans="1:6" x14ac:dyDescent="0.2">
      <c r="A47" s="2" t="s">
        <v>627</v>
      </c>
      <c r="B47" s="2" t="s">
        <v>820</v>
      </c>
      <c r="C47" s="2">
        <v>1896</v>
      </c>
      <c r="D47" s="2" t="s">
        <v>840</v>
      </c>
      <c r="E47" s="2">
        <f t="shared" si="1"/>
        <v>1</v>
      </c>
      <c r="F47" s="2" t="s">
        <v>601</v>
      </c>
    </row>
    <row r="48" spans="1:6" x14ac:dyDescent="0.2">
      <c r="A48" s="2" t="s">
        <v>622</v>
      </c>
      <c r="B48" s="2" t="s">
        <v>830</v>
      </c>
      <c r="C48" s="2">
        <v>1788</v>
      </c>
      <c r="D48" s="2" t="s">
        <v>837</v>
      </c>
      <c r="E48" s="2">
        <f t="shared" si="1"/>
        <v>1</v>
      </c>
      <c r="F48" s="2" t="s">
        <v>599</v>
      </c>
    </row>
    <row r="49" spans="1:6" x14ac:dyDescent="0.2">
      <c r="A49" s="2" t="s">
        <v>718</v>
      </c>
      <c r="B49" s="2" t="s">
        <v>821</v>
      </c>
      <c r="C49" s="2">
        <v>1791</v>
      </c>
      <c r="D49" s="2" t="s">
        <v>842</v>
      </c>
      <c r="E49" s="2">
        <f t="shared" si="1"/>
        <v>1</v>
      </c>
      <c r="F49" s="2" t="s">
        <v>751</v>
      </c>
    </row>
    <row r="50" spans="1:6" x14ac:dyDescent="0.2">
      <c r="A50" s="2" t="s">
        <v>611</v>
      </c>
      <c r="B50" s="2" t="s">
        <v>822</v>
      </c>
      <c r="C50" s="2">
        <v>1889</v>
      </c>
      <c r="D50" s="2" t="s">
        <v>846</v>
      </c>
      <c r="E50" s="2">
        <f t="shared" si="1"/>
        <v>1</v>
      </c>
      <c r="F50" s="2" t="s">
        <v>714</v>
      </c>
    </row>
    <row r="51" spans="1:6" x14ac:dyDescent="0.2">
      <c r="A51" s="2" t="s">
        <v>624</v>
      </c>
      <c r="B51" s="2" t="s">
        <v>824</v>
      </c>
      <c r="C51" s="2">
        <v>1848</v>
      </c>
      <c r="D51" s="2" t="s">
        <v>845</v>
      </c>
      <c r="E51" s="2">
        <f t="shared" si="1"/>
        <v>1</v>
      </c>
      <c r="F51" s="2" t="s">
        <v>673</v>
      </c>
    </row>
    <row r="52" spans="1:6" x14ac:dyDescent="0.2">
      <c r="A52" s="2" t="s">
        <v>705</v>
      </c>
      <c r="B52" s="2" t="s">
        <v>823</v>
      </c>
      <c r="C52" s="2">
        <v>1863</v>
      </c>
      <c r="D52" s="2" t="s">
        <v>837</v>
      </c>
      <c r="E52" s="2">
        <f t="shared" si="1"/>
        <v>1</v>
      </c>
      <c r="F52" s="2" t="s">
        <v>721</v>
      </c>
    </row>
    <row r="53" spans="1:6" x14ac:dyDescent="0.2">
      <c r="A53" s="2" t="s">
        <v>731</v>
      </c>
      <c r="B53" s="2" t="s">
        <v>825</v>
      </c>
      <c r="C53" s="2">
        <v>1890</v>
      </c>
      <c r="D53" s="2" t="s">
        <v>846</v>
      </c>
      <c r="E53" s="2">
        <f t="shared" si="1"/>
        <v>1</v>
      </c>
      <c r="F53" s="2" t="s">
        <v>732</v>
      </c>
    </row>
  </sheetData>
  <sortState xmlns:xlrd2="http://schemas.microsoft.com/office/spreadsheetml/2017/richdata2" ref="A2:F53">
    <sortCondition ref="A2:A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F2B3-AD2E-A448-8BE6-9632477B9EDF}">
  <dimension ref="A1:K3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2" sqref="H22"/>
    </sheetView>
  </sheetViews>
  <sheetFormatPr baseColWidth="10" defaultRowHeight="16" x14ac:dyDescent="0.2"/>
  <cols>
    <col min="1" max="1" width="19" style="2" bestFit="1" customWidth="1"/>
    <col min="2" max="2" width="7.6640625" bestFit="1" customWidth="1"/>
    <col min="3" max="3" width="6.6640625" bestFit="1" customWidth="1"/>
    <col min="4" max="4" width="3.83203125" style="13" bestFit="1" customWidth="1"/>
    <col min="5" max="5" width="14" style="11" customWidth="1"/>
    <col min="6" max="6" width="13.1640625" style="12" bestFit="1" customWidth="1"/>
    <col min="7" max="7" width="13" style="12" bestFit="1" customWidth="1"/>
    <col min="8" max="8" width="28.33203125" style="12" bestFit="1" customWidth="1"/>
    <col min="9" max="9" width="14" style="11" bestFit="1" customWidth="1"/>
    <col min="10" max="10" width="45.5" bestFit="1" customWidth="1"/>
    <col min="11" max="11" width="48" bestFit="1" customWidth="1"/>
  </cols>
  <sheetData>
    <row r="1" spans="1:11" x14ac:dyDescent="0.2">
      <c r="A1" s="2" t="s">
        <v>549</v>
      </c>
      <c r="B1" t="s">
        <v>587</v>
      </c>
      <c r="C1" s="7" t="s">
        <v>1179</v>
      </c>
      <c r="D1" s="8" t="s">
        <v>1142</v>
      </c>
      <c r="E1" s="9" t="s">
        <v>1139</v>
      </c>
      <c r="F1" s="10" t="s">
        <v>585</v>
      </c>
      <c r="G1" s="10" t="s">
        <v>586</v>
      </c>
      <c r="H1" s="10" t="s">
        <v>754</v>
      </c>
      <c r="I1" s="9" t="s">
        <v>752</v>
      </c>
      <c r="J1" s="1" t="s">
        <v>547</v>
      </c>
      <c r="K1" s="1" t="s">
        <v>548</v>
      </c>
    </row>
    <row r="2" spans="1:11" x14ac:dyDescent="0.2">
      <c r="A2" s="2" t="s">
        <v>702</v>
      </c>
      <c r="B2" t="s">
        <v>701</v>
      </c>
      <c r="C2" s="7">
        <f t="shared" ref="C2:C65" si="0">INT(NOT(AND(ISBLANK(E2),ISBLANK(F2),ISBLANK(G2),ISBLANK(H2))))</f>
        <v>1</v>
      </c>
      <c r="D2" s="8">
        <f t="shared" ref="D2:D65" si="1">4-(ISBLANK(E2)+ISBLANK(F2)+ISBLANK(G2)+ISBLANK(H2))</f>
        <v>1</v>
      </c>
      <c r="E2" s="9"/>
      <c r="F2" s="10"/>
      <c r="G2" s="10" t="s">
        <v>701</v>
      </c>
      <c r="H2" s="10"/>
      <c r="I2" s="9">
        <v>407213</v>
      </c>
      <c r="J2" s="1" t="s">
        <v>222</v>
      </c>
      <c r="K2" s="1"/>
    </row>
    <row r="3" spans="1:11" x14ac:dyDescent="0.2">
      <c r="A3" s="2" t="s">
        <v>859</v>
      </c>
      <c r="B3" t="s">
        <v>701</v>
      </c>
      <c r="C3" s="7">
        <f t="shared" si="0"/>
        <v>1</v>
      </c>
      <c r="D3" s="8">
        <f t="shared" si="1"/>
        <v>1</v>
      </c>
      <c r="E3" s="9"/>
      <c r="F3" s="10"/>
      <c r="G3" s="10"/>
      <c r="H3" s="10" t="s">
        <v>935</v>
      </c>
      <c r="I3" s="9">
        <v>94951</v>
      </c>
      <c r="J3" s="1" t="s">
        <v>526</v>
      </c>
      <c r="K3" s="1"/>
    </row>
    <row r="4" spans="1:11" x14ac:dyDescent="0.2">
      <c r="A4" s="2" t="s">
        <v>737</v>
      </c>
      <c r="B4" t="s">
        <v>701</v>
      </c>
      <c r="C4" s="7">
        <f t="shared" si="0"/>
        <v>1</v>
      </c>
      <c r="D4" s="8">
        <f t="shared" si="1"/>
        <v>1</v>
      </c>
      <c r="F4" s="12" t="s">
        <v>701</v>
      </c>
      <c r="I4" s="11">
        <v>32255</v>
      </c>
      <c r="J4" s="1" t="s">
        <v>738</v>
      </c>
    </row>
    <row r="5" spans="1:11" x14ac:dyDescent="0.2">
      <c r="A5" s="24" t="s">
        <v>602</v>
      </c>
      <c r="B5" t="s">
        <v>628</v>
      </c>
      <c r="C5" s="7">
        <f t="shared" si="0"/>
        <v>1</v>
      </c>
      <c r="D5" s="8">
        <f t="shared" si="1"/>
        <v>2</v>
      </c>
      <c r="E5" s="9" t="s">
        <v>1140</v>
      </c>
      <c r="F5" s="10"/>
      <c r="G5" s="10" t="s">
        <v>628</v>
      </c>
      <c r="H5" s="10"/>
      <c r="I5" s="9">
        <v>1192583</v>
      </c>
      <c r="J5" s="1" t="s">
        <v>84</v>
      </c>
      <c r="K5" s="1" t="s">
        <v>85</v>
      </c>
    </row>
    <row r="6" spans="1:11" x14ac:dyDescent="0.2">
      <c r="A6" s="24" t="s">
        <v>708</v>
      </c>
      <c r="B6" t="s">
        <v>628</v>
      </c>
      <c r="C6" s="7">
        <f t="shared" si="0"/>
        <v>1</v>
      </c>
      <c r="D6" s="8">
        <f t="shared" si="1"/>
        <v>1</v>
      </c>
      <c r="E6" s="9"/>
      <c r="F6" s="10" t="s">
        <v>628</v>
      </c>
      <c r="G6" s="10"/>
      <c r="H6" s="10"/>
      <c r="I6" s="9">
        <v>387885</v>
      </c>
      <c r="J6" s="1" t="s">
        <v>232</v>
      </c>
      <c r="K6" s="1" t="s">
        <v>233</v>
      </c>
    </row>
    <row r="7" spans="1:11" x14ac:dyDescent="0.2">
      <c r="A7" s="2" t="s">
        <v>855</v>
      </c>
      <c r="B7" t="s">
        <v>667</v>
      </c>
      <c r="C7" s="7">
        <f t="shared" si="0"/>
        <v>1</v>
      </c>
      <c r="D7" s="8">
        <f t="shared" si="1"/>
        <v>2</v>
      </c>
      <c r="E7" s="9"/>
      <c r="F7" s="10" t="s">
        <v>667</v>
      </c>
      <c r="G7" s="10" t="s">
        <v>667</v>
      </c>
      <c r="H7" s="10"/>
      <c r="I7" s="9">
        <v>769258</v>
      </c>
      <c r="J7" s="1" t="s">
        <v>141</v>
      </c>
      <c r="K7" s="1" t="s">
        <v>142</v>
      </c>
    </row>
    <row r="8" spans="1:11" x14ac:dyDescent="0.2">
      <c r="A8" s="2" t="s">
        <v>866</v>
      </c>
      <c r="B8" t="s">
        <v>605</v>
      </c>
      <c r="C8" s="7">
        <f t="shared" si="0"/>
        <v>1</v>
      </c>
      <c r="D8" s="8">
        <f t="shared" si="1"/>
        <v>1</v>
      </c>
      <c r="E8" s="9"/>
      <c r="F8" s="10"/>
      <c r="G8" s="10"/>
      <c r="H8" s="10" t="s">
        <v>762</v>
      </c>
      <c r="I8" s="9">
        <v>145161</v>
      </c>
      <c r="J8" s="1" t="s">
        <v>439</v>
      </c>
      <c r="K8" s="1"/>
    </row>
    <row r="9" spans="1:11" x14ac:dyDescent="0.2">
      <c r="A9" s="2" t="s">
        <v>559</v>
      </c>
      <c r="B9" t="s">
        <v>605</v>
      </c>
      <c r="C9" s="7">
        <f t="shared" si="0"/>
        <v>1</v>
      </c>
      <c r="D9" s="8">
        <f t="shared" si="1"/>
        <v>3</v>
      </c>
      <c r="E9" s="9" t="s">
        <v>1140</v>
      </c>
      <c r="F9" s="10" t="s">
        <v>605</v>
      </c>
      <c r="G9" s="10" t="s">
        <v>605</v>
      </c>
      <c r="H9" s="10"/>
      <c r="I9" s="9">
        <v>5186958</v>
      </c>
      <c r="J9" s="1" t="s">
        <v>18</v>
      </c>
      <c r="K9" s="1" t="s">
        <v>19</v>
      </c>
    </row>
    <row r="10" spans="1:11" x14ac:dyDescent="0.2">
      <c r="A10" s="2" t="s">
        <v>634</v>
      </c>
      <c r="B10" t="s">
        <v>605</v>
      </c>
      <c r="C10" s="7">
        <f t="shared" si="0"/>
        <v>1</v>
      </c>
      <c r="D10" s="8">
        <f t="shared" si="1"/>
        <v>1</v>
      </c>
      <c r="E10" s="9" t="s">
        <v>1140</v>
      </c>
      <c r="F10" s="10"/>
      <c r="G10" s="10"/>
      <c r="H10" s="10"/>
      <c r="I10" s="9">
        <v>1080149</v>
      </c>
      <c r="J10" s="1" t="s">
        <v>94</v>
      </c>
      <c r="K10" s="1" t="s">
        <v>95</v>
      </c>
    </row>
    <row r="11" spans="1:11" x14ac:dyDescent="0.2">
      <c r="A11" s="2" t="s">
        <v>629</v>
      </c>
      <c r="B11" t="s">
        <v>589</v>
      </c>
      <c r="C11" s="7">
        <f t="shared" si="0"/>
        <v>1</v>
      </c>
      <c r="D11" s="8">
        <f t="shared" si="1"/>
        <v>1</v>
      </c>
      <c r="E11" s="9" t="s">
        <v>1140</v>
      </c>
      <c r="F11" s="10"/>
      <c r="G11" s="10"/>
      <c r="H11" s="10"/>
      <c r="I11" s="9">
        <v>1189557</v>
      </c>
      <c r="J11" s="1" t="s">
        <v>86</v>
      </c>
      <c r="K11" s="1" t="s">
        <v>87</v>
      </c>
    </row>
    <row r="12" spans="1:11" x14ac:dyDescent="0.2">
      <c r="A12" s="24" t="s">
        <v>551</v>
      </c>
      <c r="B12" t="s">
        <v>589</v>
      </c>
      <c r="C12" s="7">
        <f t="shared" si="0"/>
        <v>1</v>
      </c>
      <c r="D12" s="8">
        <f t="shared" si="1"/>
        <v>2</v>
      </c>
      <c r="E12" s="9" t="s">
        <v>1140</v>
      </c>
      <c r="F12" s="10"/>
      <c r="G12" s="10" t="s">
        <v>589</v>
      </c>
      <c r="H12" s="10"/>
      <c r="I12" s="9">
        <v>12927614</v>
      </c>
      <c r="J12" s="1" t="s">
        <v>2</v>
      </c>
      <c r="K12" s="1" t="s">
        <v>3</v>
      </c>
    </row>
    <row r="13" spans="1:11" x14ac:dyDescent="0.2">
      <c r="A13" s="2" t="s">
        <v>1185</v>
      </c>
      <c r="B13" t="s">
        <v>589</v>
      </c>
      <c r="C13" s="7">
        <f t="shared" si="0"/>
        <v>1</v>
      </c>
      <c r="D13" s="8">
        <f t="shared" si="1"/>
        <v>1</v>
      </c>
      <c r="E13" s="9"/>
      <c r="F13" s="10"/>
      <c r="G13" s="10"/>
      <c r="H13" s="10" t="s">
        <v>764</v>
      </c>
      <c r="I13" s="9">
        <v>296774</v>
      </c>
      <c r="J13" s="1" t="s">
        <v>274</v>
      </c>
      <c r="K13" s="1" t="s">
        <v>24</v>
      </c>
    </row>
    <row r="14" spans="1:11" x14ac:dyDescent="0.2">
      <c r="A14" s="24" t="s">
        <v>561</v>
      </c>
      <c r="B14" t="s">
        <v>589</v>
      </c>
      <c r="C14" s="7">
        <f t="shared" si="0"/>
        <v>1</v>
      </c>
      <c r="D14" s="8">
        <f t="shared" si="1"/>
        <v>1</v>
      </c>
      <c r="E14" s="9" t="s">
        <v>1140</v>
      </c>
      <c r="F14" s="10"/>
      <c r="G14" s="10"/>
      <c r="H14" s="10"/>
      <c r="I14" s="9">
        <v>4744214</v>
      </c>
      <c r="J14" s="1" t="s">
        <v>22</v>
      </c>
      <c r="K14" s="1" t="s">
        <v>3</v>
      </c>
    </row>
    <row r="15" spans="1:11" x14ac:dyDescent="0.2">
      <c r="A15" s="2" t="s">
        <v>576</v>
      </c>
      <c r="B15" t="s">
        <v>589</v>
      </c>
      <c r="C15" s="7">
        <f t="shared" si="0"/>
        <v>1</v>
      </c>
      <c r="D15" s="8">
        <f t="shared" si="1"/>
        <v>3</v>
      </c>
      <c r="E15" s="9" t="s">
        <v>1140</v>
      </c>
      <c r="F15" s="10" t="s">
        <v>589</v>
      </c>
      <c r="G15" s="10"/>
      <c r="H15" s="10" t="s">
        <v>779</v>
      </c>
      <c r="I15" s="9">
        <v>2463127</v>
      </c>
      <c r="J15" s="1" t="s">
        <v>47</v>
      </c>
      <c r="K15" s="1" t="s">
        <v>48</v>
      </c>
    </row>
    <row r="16" spans="1:11" x14ac:dyDescent="0.2">
      <c r="A16" s="24" t="s">
        <v>567</v>
      </c>
      <c r="B16" t="s">
        <v>589</v>
      </c>
      <c r="C16" s="7">
        <f t="shared" si="0"/>
        <v>1</v>
      </c>
      <c r="D16" s="8">
        <f t="shared" si="1"/>
        <v>1</v>
      </c>
      <c r="E16" s="9" t="s">
        <v>1140</v>
      </c>
      <c r="F16" s="10"/>
      <c r="G16" s="10"/>
      <c r="H16" s="10"/>
      <c r="I16" s="9">
        <v>3298799</v>
      </c>
      <c r="J16" s="1" t="s">
        <v>32</v>
      </c>
      <c r="K16" s="1"/>
    </row>
    <row r="17" spans="1:11" x14ac:dyDescent="0.2">
      <c r="A17" s="2" t="s">
        <v>562</v>
      </c>
      <c r="B17" t="s">
        <v>589</v>
      </c>
      <c r="C17" s="7">
        <f t="shared" si="0"/>
        <v>1</v>
      </c>
      <c r="D17" s="8">
        <f t="shared" si="1"/>
        <v>1</v>
      </c>
      <c r="E17" s="9" t="s">
        <v>1140</v>
      </c>
      <c r="F17" s="10"/>
      <c r="G17" s="10"/>
      <c r="H17" s="10"/>
      <c r="I17" s="9">
        <v>4648486</v>
      </c>
      <c r="J17" s="1" t="s">
        <v>23</v>
      </c>
      <c r="K17" s="1" t="s">
        <v>24</v>
      </c>
    </row>
    <row r="18" spans="1:11" x14ac:dyDescent="0.2">
      <c r="A18" s="2" t="s">
        <v>591</v>
      </c>
      <c r="B18" t="s">
        <v>589</v>
      </c>
      <c r="C18" s="7">
        <f t="shared" si="0"/>
        <v>1</v>
      </c>
      <c r="D18" s="8">
        <f t="shared" si="1"/>
        <v>1</v>
      </c>
      <c r="E18" s="9" t="s">
        <v>1140</v>
      </c>
      <c r="F18" s="10"/>
      <c r="G18" s="10"/>
      <c r="H18" s="10"/>
      <c r="I18" s="9">
        <v>1995484</v>
      </c>
      <c r="J18" s="1" t="s">
        <v>65</v>
      </c>
      <c r="K18" s="1" t="s">
        <v>24</v>
      </c>
    </row>
    <row r="19" spans="1:11" x14ac:dyDescent="0.2">
      <c r="A19" s="2" t="s">
        <v>865</v>
      </c>
      <c r="B19" t="s">
        <v>589</v>
      </c>
      <c r="C19" s="7">
        <f t="shared" si="0"/>
        <v>1</v>
      </c>
      <c r="D19" s="8">
        <f t="shared" si="1"/>
        <v>1</v>
      </c>
      <c r="E19" s="9"/>
      <c r="F19" s="10"/>
      <c r="G19" s="10"/>
      <c r="H19" s="10" t="s">
        <v>775</v>
      </c>
      <c r="I19" s="9">
        <v>444500</v>
      </c>
      <c r="J19" s="1" t="s">
        <v>200</v>
      </c>
      <c r="K19" s="1"/>
    </row>
    <row r="20" spans="1:11" x14ac:dyDescent="0.2">
      <c r="A20" s="2" t="s">
        <v>867</v>
      </c>
      <c r="B20" t="s">
        <v>613</v>
      </c>
      <c r="C20" s="7">
        <f t="shared" si="0"/>
        <v>1</v>
      </c>
      <c r="D20" s="8">
        <f t="shared" si="1"/>
        <v>1</v>
      </c>
      <c r="E20" s="9"/>
      <c r="F20" s="10"/>
      <c r="G20" s="10"/>
      <c r="H20" s="10" t="s">
        <v>1190</v>
      </c>
      <c r="I20" s="9">
        <v>777634</v>
      </c>
      <c r="J20" s="1" t="s">
        <v>140</v>
      </c>
      <c r="K20" s="1"/>
    </row>
    <row r="21" spans="1:11" x14ac:dyDescent="0.2">
      <c r="A21" s="24" t="s">
        <v>568</v>
      </c>
      <c r="B21" t="s">
        <v>613</v>
      </c>
      <c r="C21" s="7">
        <f t="shared" si="0"/>
        <v>1</v>
      </c>
      <c r="D21" s="8">
        <f t="shared" si="1"/>
        <v>3</v>
      </c>
      <c r="E21" s="9" t="s">
        <v>1140</v>
      </c>
      <c r="F21" s="10" t="s">
        <v>613</v>
      </c>
      <c r="G21" s="10" t="s">
        <v>613</v>
      </c>
      <c r="H21" s="10"/>
      <c r="I21" s="9">
        <v>3052498</v>
      </c>
      <c r="J21" s="1" t="s">
        <v>33</v>
      </c>
      <c r="K21" s="1" t="s">
        <v>34</v>
      </c>
    </row>
    <row r="22" spans="1:11" x14ac:dyDescent="0.2">
      <c r="A22" s="24" t="s">
        <v>631</v>
      </c>
      <c r="B22" t="s">
        <v>632</v>
      </c>
      <c r="C22" s="7">
        <f t="shared" si="0"/>
        <v>1</v>
      </c>
      <c r="D22" s="8">
        <f t="shared" si="1"/>
        <v>3</v>
      </c>
      <c r="E22" s="9" t="s">
        <v>1140</v>
      </c>
      <c r="F22" s="10" t="s">
        <v>632</v>
      </c>
      <c r="G22" s="10" t="s">
        <v>632</v>
      </c>
      <c r="H22" s="10"/>
      <c r="I22" s="9">
        <v>1169048</v>
      </c>
      <c r="J22" s="1" t="s">
        <v>90</v>
      </c>
      <c r="K22" s="1" t="s">
        <v>91</v>
      </c>
    </row>
    <row r="23" spans="1:11" x14ac:dyDescent="0.2">
      <c r="A23" s="2" t="s">
        <v>689</v>
      </c>
      <c r="B23" t="s">
        <v>632</v>
      </c>
      <c r="C23" s="7">
        <f t="shared" si="0"/>
        <v>1</v>
      </c>
      <c r="D23" s="8">
        <f t="shared" si="1"/>
        <v>1</v>
      </c>
      <c r="E23" s="9"/>
      <c r="F23" s="10"/>
      <c r="G23" s="10"/>
      <c r="H23" s="10" t="s">
        <v>1194</v>
      </c>
      <c r="I23" s="9">
        <v>576718</v>
      </c>
      <c r="J23" s="1" t="s">
        <v>170</v>
      </c>
      <c r="K23" s="1" t="s">
        <v>91</v>
      </c>
    </row>
    <row r="24" spans="1:11" x14ac:dyDescent="0.2">
      <c r="A24" s="24" t="s">
        <v>556</v>
      </c>
      <c r="B24" t="s">
        <v>609</v>
      </c>
      <c r="C24" s="7">
        <f t="shared" si="0"/>
        <v>1</v>
      </c>
      <c r="D24" s="8">
        <f t="shared" si="1"/>
        <v>4</v>
      </c>
      <c r="E24" s="9" t="s">
        <v>1140</v>
      </c>
      <c r="F24" s="10" t="s">
        <v>609</v>
      </c>
      <c r="G24" s="10" t="s">
        <v>609</v>
      </c>
      <c r="H24" s="10" t="s">
        <v>771</v>
      </c>
      <c r="I24" s="9">
        <v>6436489</v>
      </c>
      <c r="J24" s="1" t="s">
        <v>12</v>
      </c>
      <c r="K24" s="1" t="s">
        <v>13</v>
      </c>
    </row>
    <row r="25" spans="1:11" x14ac:dyDescent="0.2">
      <c r="A25" s="24" t="s">
        <v>723</v>
      </c>
      <c r="B25" t="s">
        <v>722</v>
      </c>
      <c r="C25" s="7">
        <f t="shared" si="0"/>
        <v>1</v>
      </c>
      <c r="D25" s="8">
        <f t="shared" si="1"/>
        <v>2</v>
      </c>
      <c r="E25" s="9"/>
      <c r="F25" s="10" t="s">
        <v>722</v>
      </c>
      <c r="G25" s="10" t="s">
        <v>722</v>
      </c>
      <c r="H25" s="10"/>
      <c r="I25" s="9">
        <v>192690</v>
      </c>
      <c r="J25" s="1" t="s">
        <v>359</v>
      </c>
      <c r="K25" s="1" t="s">
        <v>17</v>
      </c>
    </row>
    <row r="26" spans="1:11" x14ac:dyDescent="0.2">
      <c r="A26" s="24" t="s">
        <v>593</v>
      </c>
      <c r="B26" t="s">
        <v>608</v>
      </c>
      <c r="C26" s="7">
        <f t="shared" si="0"/>
        <v>1</v>
      </c>
      <c r="D26" s="8">
        <f t="shared" si="1"/>
        <v>2</v>
      </c>
      <c r="E26" s="9" t="s">
        <v>1140</v>
      </c>
      <c r="F26" s="10"/>
      <c r="G26" s="10"/>
      <c r="H26" s="10" t="s">
        <v>767</v>
      </c>
      <c r="I26" s="9">
        <v>1760548</v>
      </c>
      <c r="J26" s="1" t="s">
        <v>68</v>
      </c>
      <c r="K26" s="1" t="s">
        <v>69</v>
      </c>
    </row>
    <row r="27" spans="1:11" x14ac:dyDescent="0.2">
      <c r="A27" s="24" t="s">
        <v>555</v>
      </c>
      <c r="B27" t="s">
        <v>608</v>
      </c>
      <c r="C27" s="7">
        <f t="shared" si="0"/>
        <v>1</v>
      </c>
      <c r="D27" s="8">
        <f t="shared" si="1"/>
        <v>3</v>
      </c>
      <c r="E27" s="9" t="s">
        <v>1140</v>
      </c>
      <c r="F27" s="10"/>
      <c r="G27" s="10" t="s">
        <v>608</v>
      </c>
      <c r="H27" s="10" t="s">
        <v>757</v>
      </c>
      <c r="I27" s="9">
        <v>6457988</v>
      </c>
      <c r="J27" s="1" t="s">
        <v>10</v>
      </c>
      <c r="K27" s="1" t="s">
        <v>11</v>
      </c>
    </row>
    <row r="28" spans="1:11" x14ac:dyDescent="0.2">
      <c r="A28" s="24" t="s">
        <v>569</v>
      </c>
      <c r="B28" t="s">
        <v>608</v>
      </c>
      <c r="C28" s="7">
        <f t="shared" si="0"/>
        <v>1</v>
      </c>
      <c r="D28" s="8">
        <f t="shared" si="1"/>
        <v>1</v>
      </c>
      <c r="E28" s="9" t="s">
        <v>1140</v>
      </c>
      <c r="F28" s="10"/>
      <c r="G28" s="10"/>
      <c r="H28" s="10"/>
      <c r="I28" s="9">
        <v>2940513</v>
      </c>
      <c r="J28" s="1" t="s">
        <v>35</v>
      </c>
      <c r="K28" s="1" t="s">
        <v>36</v>
      </c>
    </row>
    <row r="29" spans="1:11" x14ac:dyDescent="0.2">
      <c r="A29" s="24" t="s">
        <v>709</v>
      </c>
      <c r="B29" t="s">
        <v>608</v>
      </c>
      <c r="C29" s="7">
        <f t="shared" si="0"/>
        <v>1</v>
      </c>
      <c r="D29" s="8">
        <f t="shared" si="1"/>
        <v>1</v>
      </c>
      <c r="E29" s="9"/>
      <c r="F29" s="10" t="s">
        <v>608</v>
      </c>
      <c r="G29" s="10"/>
      <c r="H29" s="10"/>
      <c r="I29" s="9">
        <v>397675</v>
      </c>
      <c r="J29" s="1" t="s">
        <v>226</v>
      </c>
      <c r="K29" s="1" t="s">
        <v>227</v>
      </c>
    </row>
    <row r="30" spans="1:11" x14ac:dyDescent="0.2">
      <c r="A30" s="24" t="s">
        <v>566</v>
      </c>
      <c r="B30" t="s">
        <v>608</v>
      </c>
      <c r="C30" s="7">
        <f t="shared" si="0"/>
        <v>1</v>
      </c>
      <c r="D30" s="8">
        <f t="shared" si="1"/>
        <v>1</v>
      </c>
      <c r="E30" s="9" t="s">
        <v>1140</v>
      </c>
      <c r="F30" s="10"/>
      <c r="G30" s="10"/>
      <c r="H30" s="10"/>
      <c r="I30" s="9">
        <v>3424560</v>
      </c>
      <c r="J30" s="1" t="s">
        <v>31</v>
      </c>
      <c r="K30" s="1"/>
    </row>
    <row r="31" spans="1:11" x14ac:dyDescent="0.2">
      <c r="A31" s="24" t="s">
        <v>557</v>
      </c>
      <c r="B31" t="s">
        <v>603</v>
      </c>
      <c r="C31" s="7">
        <f t="shared" si="0"/>
        <v>1</v>
      </c>
      <c r="D31" s="8">
        <f t="shared" si="1"/>
        <v>3</v>
      </c>
      <c r="E31" s="9" t="s">
        <v>1140</v>
      </c>
      <c r="F31" s="10" t="s">
        <v>603</v>
      </c>
      <c r="G31" s="10" t="s">
        <v>603</v>
      </c>
      <c r="H31" s="10"/>
      <c r="I31" s="9">
        <v>6411149</v>
      </c>
      <c r="J31" s="1" t="s">
        <v>14</v>
      </c>
      <c r="K31" s="1" t="s">
        <v>15</v>
      </c>
    </row>
    <row r="32" spans="1:11" x14ac:dyDescent="0.2">
      <c r="A32" s="24" t="s">
        <v>864</v>
      </c>
      <c r="B32" t="s">
        <v>603</v>
      </c>
      <c r="C32" s="7">
        <f t="shared" si="0"/>
        <v>1</v>
      </c>
      <c r="D32" s="8">
        <f t="shared" si="1"/>
        <v>1</v>
      </c>
      <c r="E32" s="9"/>
      <c r="F32" s="10"/>
      <c r="G32" s="10"/>
      <c r="H32" s="10" t="s">
        <v>774</v>
      </c>
      <c r="I32" s="9">
        <v>431589</v>
      </c>
      <c r="J32" s="1" t="s">
        <v>206</v>
      </c>
      <c r="K32" s="1" t="s">
        <v>207</v>
      </c>
    </row>
    <row r="33" spans="1:11" x14ac:dyDescent="0.2">
      <c r="A33" s="2" t="s">
        <v>639</v>
      </c>
      <c r="B33" t="s">
        <v>640</v>
      </c>
      <c r="C33" s="7">
        <f t="shared" si="0"/>
        <v>1</v>
      </c>
      <c r="D33" s="8">
        <f t="shared" si="1"/>
        <v>2</v>
      </c>
      <c r="E33" s="9"/>
      <c r="F33" s="10" t="s">
        <v>640</v>
      </c>
      <c r="G33" s="10" t="s">
        <v>640</v>
      </c>
      <c r="H33" s="10"/>
      <c r="I33" s="9">
        <v>998747</v>
      </c>
      <c r="J33" s="1" t="s">
        <v>102</v>
      </c>
      <c r="K33" s="1"/>
    </row>
    <row r="34" spans="1:11" x14ac:dyDescent="0.2">
      <c r="A34" s="24" t="s">
        <v>871</v>
      </c>
      <c r="B34" t="s">
        <v>670</v>
      </c>
      <c r="C34" s="7">
        <f t="shared" si="0"/>
        <v>1</v>
      </c>
      <c r="D34" s="8">
        <f t="shared" si="1"/>
        <v>1</v>
      </c>
      <c r="E34" s="9"/>
      <c r="F34" s="10"/>
      <c r="G34" s="10"/>
      <c r="H34" s="10" t="s">
        <v>1196</v>
      </c>
      <c r="I34" s="9">
        <v>381801</v>
      </c>
      <c r="J34" s="1" t="s">
        <v>237</v>
      </c>
      <c r="K34" s="1" t="s">
        <v>238</v>
      </c>
    </row>
    <row r="35" spans="1:11" x14ac:dyDescent="0.2">
      <c r="A35" s="24" t="s">
        <v>669</v>
      </c>
      <c r="B35" t="s">
        <v>670</v>
      </c>
      <c r="C35" s="7">
        <f t="shared" si="0"/>
        <v>1</v>
      </c>
      <c r="D35" s="8">
        <f t="shared" si="1"/>
        <v>2</v>
      </c>
      <c r="E35" s="9"/>
      <c r="F35" s="10" t="s">
        <v>670</v>
      </c>
      <c r="G35" s="10" t="s">
        <v>670</v>
      </c>
      <c r="H35" s="10"/>
      <c r="I35" s="9">
        <v>753913</v>
      </c>
      <c r="J35" s="1" t="s">
        <v>144</v>
      </c>
      <c r="K35" s="1" t="s">
        <v>145</v>
      </c>
    </row>
    <row r="36" spans="1:11" x14ac:dyDescent="0.2">
      <c r="A36" s="24" t="s">
        <v>661</v>
      </c>
      <c r="B36" t="s">
        <v>662</v>
      </c>
      <c r="C36" s="7">
        <f t="shared" si="0"/>
        <v>1</v>
      </c>
      <c r="D36" s="8">
        <f t="shared" si="1"/>
        <v>2</v>
      </c>
      <c r="E36" s="9"/>
      <c r="F36" s="10" t="s">
        <v>662</v>
      </c>
      <c r="G36" s="10" t="s">
        <v>662</v>
      </c>
      <c r="H36" s="10"/>
      <c r="I36" s="9">
        <v>845877</v>
      </c>
      <c r="J36" s="1" t="s">
        <v>132</v>
      </c>
      <c r="K36" s="1" t="s">
        <v>133</v>
      </c>
    </row>
    <row r="37" spans="1:11" x14ac:dyDescent="0.2">
      <c r="A37" s="27" t="s">
        <v>1075</v>
      </c>
      <c r="B37" t="s">
        <v>662</v>
      </c>
      <c r="C37" s="7">
        <f t="shared" si="0"/>
        <v>1</v>
      </c>
      <c r="D37" s="8">
        <f t="shared" si="1"/>
        <v>1</v>
      </c>
      <c r="E37" s="9"/>
      <c r="F37" s="10"/>
      <c r="G37" s="10"/>
      <c r="H37" s="10" t="s">
        <v>1191</v>
      </c>
      <c r="I37" s="9">
        <v>122565</v>
      </c>
      <c r="J37" s="1" t="s">
        <v>475</v>
      </c>
      <c r="K37" s="1"/>
    </row>
    <row r="38" spans="1:11" x14ac:dyDescent="0.2">
      <c r="A38" s="24" t="s">
        <v>552</v>
      </c>
      <c r="B38" t="s">
        <v>590</v>
      </c>
      <c r="C38" s="7">
        <f t="shared" si="0"/>
        <v>1</v>
      </c>
      <c r="D38" s="8">
        <f t="shared" si="1"/>
        <v>2</v>
      </c>
      <c r="E38" s="9" t="s">
        <v>1140</v>
      </c>
      <c r="F38" s="10"/>
      <c r="G38" s="10" t="s">
        <v>590</v>
      </c>
      <c r="H38" s="10"/>
      <c r="I38" s="9">
        <v>9408576</v>
      </c>
      <c r="J38" s="1" t="s">
        <v>4</v>
      </c>
      <c r="K38" s="1" t="s">
        <v>5</v>
      </c>
    </row>
    <row r="39" spans="1:11" x14ac:dyDescent="0.2">
      <c r="A39" s="24" t="s">
        <v>720</v>
      </c>
      <c r="B39" t="s">
        <v>590</v>
      </c>
      <c r="C39" s="7">
        <f t="shared" si="0"/>
        <v>1</v>
      </c>
      <c r="D39" s="8">
        <f t="shared" si="1"/>
        <v>1</v>
      </c>
      <c r="E39" s="9"/>
      <c r="F39" s="10" t="s">
        <v>590</v>
      </c>
      <c r="G39" s="10"/>
      <c r="H39" s="10"/>
      <c r="I39" s="9">
        <v>206308</v>
      </c>
      <c r="J39" s="1" t="s">
        <v>348</v>
      </c>
      <c r="K39" s="1" t="s">
        <v>349</v>
      </c>
    </row>
    <row r="40" spans="1:11" x14ac:dyDescent="0.2">
      <c r="A40" s="24" t="s">
        <v>582</v>
      </c>
      <c r="B40" t="s">
        <v>620</v>
      </c>
      <c r="C40" s="7">
        <f t="shared" si="0"/>
        <v>1</v>
      </c>
      <c r="D40" s="8">
        <f t="shared" si="1"/>
        <v>3</v>
      </c>
      <c r="E40" s="9" t="s">
        <v>1140</v>
      </c>
      <c r="F40" s="10" t="s">
        <v>620</v>
      </c>
      <c r="G40" s="10" t="s">
        <v>620</v>
      </c>
      <c r="H40" s="10"/>
      <c r="I40" s="9">
        <v>2174833</v>
      </c>
      <c r="J40" s="1" t="s">
        <v>59</v>
      </c>
      <c r="K40" s="1" t="s">
        <v>60</v>
      </c>
    </row>
    <row r="41" spans="1:11" x14ac:dyDescent="0.2">
      <c r="A41" s="24" t="s">
        <v>717</v>
      </c>
      <c r="B41" t="s">
        <v>677</v>
      </c>
      <c r="C41" s="7">
        <f t="shared" si="0"/>
        <v>1</v>
      </c>
      <c r="D41" s="8">
        <f t="shared" si="1"/>
        <v>1</v>
      </c>
      <c r="E41" s="9"/>
      <c r="F41" s="10" t="s">
        <v>677</v>
      </c>
      <c r="G41" s="10"/>
      <c r="H41" s="10"/>
      <c r="I41" s="9">
        <v>232648</v>
      </c>
      <c r="J41" s="1" t="s">
        <v>318</v>
      </c>
      <c r="K41" s="1"/>
    </row>
    <row r="42" spans="1:11" x14ac:dyDescent="0.2">
      <c r="A42" s="2" t="s">
        <v>969</v>
      </c>
      <c r="B42" t="s">
        <v>677</v>
      </c>
      <c r="C42" s="7">
        <f t="shared" si="0"/>
        <v>1</v>
      </c>
      <c r="D42" s="8">
        <f t="shared" si="1"/>
        <v>1</v>
      </c>
      <c r="E42" s="9"/>
      <c r="F42" s="10"/>
      <c r="G42" s="10" t="s">
        <v>677</v>
      </c>
      <c r="H42" s="10"/>
      <c r="I42" s="9">
        <v>661217</v>
      </c>
      <c r="J42" s="1" t="s">
        <v>153</v>
      </c>
      <c r="K42" s="1" t="s">
        <v>154</v>
      </c>
    </row>
    <row r="43" spans="1:11" x14ac:dyDescent="0.2">
      <c r="A43" s="24" t="s">
        <v>739</v>
      </c>
      <c r="B43" t="s">
        <v>626</v>
      </c>
      <c r="C43" s="7">
        <f t="shared" si="0"/>
        <v>1</v>
      </c>
      <c r="D43" s="8">
        <f t="shared" si="1"/>
        <v>1</v>
      </c>
      <c r="F43" s="12" t="s">
        <v>626</v>
      </c>
      <c r="I43" s="11">
        <v>28602</v>
      </c>
      <c r="J43" s="1" t="s">
        <v>740</v>
      </c>
    </row>
    <row r="44" spans="1:11" x14ac:dyDescent="0.2">
      <c r="A44" s="24" t="s">
        <v>598</v>
      </c>
      <c r="B44" t="s">
        <v>626</v>
      </c>
      <c r="C44" s="7">
        <f t="shared" si="0"/>
        <v>1</v>
      </c>
      <c r="D44" s="8">
        <f t="shared" si="1"/>
        <v>2</v>
      </c>
      <c r="E44" s="9" t="s">
        <v>1140</v>
      </c>
      <c r="F44" s="10"/>
      <c r="G44" s="10" t="s">
        <v>626</v>
      </c>
      <c r="H44" s="10"/>
      <c r="I44" s="9">
        <v>1394234</v>
      </c>
      <c r="J44" s="1" t="s">
        <v>77</v>
      </c>
      <c r="K44" s="1" t="s">
        <v>78</v>
      </c>
    </row>
    <row r="45" spans="1:11" x14ac:dyDescent="0.2">
      <c r="A45" s="2" t="s">
        <v>654</v>
      </c>
      <c r="B45" t="s">
        <v>645</v>
      </c>
      <c r="C45" s="7">
        <f t="shared" si="0"/>
        <v>1</v>
      </c>
      <c r="D45" s="8">
        <f t="shared" si="1"/>
        <v>1</v>
      </c>
      <c r="E45" s="9"/>
      <c r="F45" s="10" t="s">
        <v>645</v>
      </c>
      <c r="G45" s="10"/>
      <c r="I45" s="9">
        <v>882652</v>
      </c>
      <c r="J45" s="1" t="s">
        <v>121</v>
      </c>
      <c r="K45" s="1" t="s">
        <v>122</v>
      </c>
    </row>
    <row r="46" spans="1:11" x14ac:dyDescent="0.2">
      <c r="A46" s="24" t="s">
        <v>644</v>
      </c>
      <c r="B46" t="s">
        <v>645</v>
      </c>
      <c r="C46" s="7">
        <f t="shared" si="0"/>
        <v>1</v>
      </c>
      <c r="D46" s="8">
        <f t="shared" si="1"/>
        <v>2</v>
      </c>
      <c r="E46" s="9"/>
      <c r="F46" s="10"/>
      <c r="G46" s="10" t="s">
        <v>645</v>
      </c>
      <c r="H46" s="10" t="s">
        <v>770</v>
      </c>
      <c r="I46" s="9">
        <v>966230</v>
      </c>
      <c r="J46" s="1" t="s">
        <v>106</v>
      </c>
      <c r="K46" s="1" t="s">
        <v>107</v>
      </c>
    </row>
    <row r="47" spans="1:11" x14ac:dyDescent="0.2">
      <c r="A47" s="24" t="s">
        <v>560</v>
      </c>
      <c r="B47" t="s">
        <v>606</v>
      </c>
      <c r="C47" s="7">
        <f t="shared" si="0"/>
        <v>1</v>
      </c>
      <c r="D47" s="8">
        <f t="shared" si="1"/>
        <v>4</v>
      </c>
      <c r="E47" s="9" t="s">
        <v>1140</v>
      </c>
      <c r="F47" s="10" t="s">
        <v>606</v>
      </c>
      <c r="G47" s="10" t="s">
        <v>606</v>
      </c>
      <c r="H47" s="10" t="s">
        <v>776</v>
      </c>
      <c r="I47" s="9">
        <v>5025517</v>
      </c>
      <c r="J47" s="1" t="s">
        <v>20</v>
      </c>
      <c r="K47" s="1" t="s">
        <v>21</v>
      </c>
    </row>
    <row r="48" spans="1:11" x14ac:dyDescent="0.2">
      <c r="A48" s="24" t="s">
        <v>743</v>
      </c>
      <c r="B48" t="s">
        <v>615</v>
      </c>
      <c r="C48" s="7">
        <f t="shared" si="0"/>
        <v>1</v>
      </c>
      <c r="D48" s="8">
        <f t="shared" si="1"/>
        <v>1</v>
      </c>
      <c r="F48" s="12" t="s">
        <v>615</v>
      </c>
      <c r="I48" s="11">
        <v>40812</v>
      </c>
      <c r="J48" s="1" t="s">
        <v>744</v>
      </c>
    </row>
    <row r="49" spans="1:11" x14ac:dyDescent="0.2">
      <c r="A49" s="24" t="s">
        <v>571</v>
      </c>
      <c r="B49" t="s">
        <v>615</v>
      </c>
      <c r="C49" s="7">
        <f t="shared" si="0"/>
        <v>1</v>
      </c>
      <c r="D49" s="8">
        <f t="shared" si="1"/>
        <v>2</v>
      </c>
      <c r="E49" s="9" t="s">
        <v>1140</v>
      </c>
      <c r="F49" s="10"/>
      <c r="G49" s="10" t="s">
        <v>615</v>
      </c>
      <c r="H49" s="10"/>
      <c r="I49" s="9">
        <v>2859024</v>
      </c>
      <c r="J49" s="1" t="s">
        <v>39</v>
      </c>
      <c r="K49" s="1" t="s">
        <v>13</v>
      </c>
    </row>
    <row r="50" spans="1:11" x14ac:dyDescent="0.2">
      <c r="A50" s="24" t="s">
        <v>741</v>
      </c>
      <c r="B50" t="s">
        <v>693</v>
      </c>
      <c r="C50" s="7">
        <f t="shared" si="0"/>
        <v>1</v>
      </c>
      <c r="D50" s="8">
        <f t="shared" si="1"/>
        <v>1</v>
      </c>
      <c r="F50" s="12" t="s">
        <v>693</v>
      </c>
      <c r="I50" s="11">
        <v>18889</v>
      </c>
      <c r="J50" s="1" t="s">
        <v>742</v>
      </c>
    </row>
    <row r="51" spans="1:11" x14ac:dyDescent="0.2">
      <c r="A51" s="24" t="s">
        <v>878</v>
      </c>
      <c r="B51" t="s">
        <v>693</v>
      </c>
      <c r="C51" s="7">
        <f t="shared" si="0"/>
        <v>1</v>
      </c>
      <c r="D51" s="8">
        <f t="shared" si="1"/>
        <v>1</v>
      </c>
      <c r="E51" s="9"/>
      <c r="F51" s="10"/>
      <c r="G51" s="10"/>
      <c r="H51" s="10" t="s">
        <v>1168</v>
      </c>
      <c r="I51" s="9">
        <v>156840</v>
      </c>
      <c r="J51" s="1" t="s">
        <v>410</v>
      </c>
      <c r="K51" s="1"/>
    </row>
    <row r="52" spans="1:11" x14ac:dyDescent="0.2">
      <c r="A52" s="24" t="s">
        <v>692</v>
      </c>
      <c r="B52" t="s">
        <v>693</v>
      </c>
      <c r="C52" s="7">
        <f t="shared" si="0"/>
        <v>1</v>
      </c>
      <c r="D52" s="8">
        <f t="shared" si="1"/>
        <v>1</v>
      </c>
      <c r="E52" s="9"/>
      <c r="F52" s="10"/>
      <c r="G52" s="10" t="s">
        <v>693</v>
      </c>
      <c r="H52" s="10"/>
      <c r="I52" s="9">
        <v>571534</v>
      </c>
      <c r="J52" s="1" t="s">
        <v>174</v>
      </c>
      <c r="K52" s="1" t="s">
        <v>175</v>
      </c>
    </row>
    <row r="53" spans="1:11" x14ac:dyDescent="0.2">
      <c r="A53" s="2" t="s">
        <v>933</v>
      </c>
      <c r="B53" t="s">
        <v>610</v>
      </c>
      <c r="C53" s="7">
        <f t="shared" si="0"/>
        <v>1</v>
      </c>
      <c r="D53" s="8">
        <f t="shared" si="1"/>
        <v>1</v>
      </c>
      <c r="E53" s="9"/>
      <c r="F53" s="10"/>
      <c r="G53" s="10"/>
      <c r="H53" s="10" t="s">
        <v>1195</v>
      </c>
      <c r="I53" s="9">
        <v>373875</v>
      </c>
      <c r="J53" s="1" t="s">
        <v>240</v>
      </c>
      <c r="K53" s="1" t="s">
        <v>26</v>
      </c>
    </row>
    <row r="54" spans="1:11" x14ac:dyDescent="0.2">
      <c r="A54" s="24" t="s">
        <v>563</v>
      </c>
      <c r="B54" t="s">
        <v>610</v>
      </c>
      <c r="C54" s="7">
        <f t="shared" si="0"/>
        <v>1</v>
      </c>
      <c r="D54" s="8">
        <f t="shared" si="1"/>
        <v>2</v>
      </c>
      <c r="E54" s="9" t="s">
        <v>1140</v>
      </c>
      <c r="F54" s="10"/>
      <c r="G54" s="10" t="s">
        <v>610</v>
      </c>
      <c r="H54" s="10"/>
      <c r="I54" s="9">
        <v>4400578</v>
      </c>
      <c r="J54" s="1" t="s">
        <v>25</v>
      </c>
      <c r="K54" s="1" t="s">
        <v>26</v>
      </c>
    </row>
    <row r="55" spans="1:11" x14ac:dyDescent="0.2">
      <c r="A55" s="24" t="s">
        <v>630</v>
      </c>
      <c r="B55" t="s">
        <v>610</v>
      </c>
      <c r="C55" s="7">
        <f t="shared" si="0"/>
        <v>1</v>
      </c>
      <c r="D55" s="8">
        <f t="shared" si="1"/>
        <v>1</v>
      </c>
      <c r="E55" s="9" t="s">
        <v>1140</v>
      </c>
      <c r="F55" s="10"/>
      <c r="G55" s="10"/>
      <c r="H55" s="10"/>
      <c r="I55" s="9">
        <v>1178826</v>
      </c>
      <c r="J55" s="1" t="s">
        <v>88</v>
      </c>
      <c r="K55" s="1" t="s">
        <v>89</v>
      </c>
    </row>
    <row r="56" spans="1:11" x14ac:dyDescent="0.2">
      <c r="A56" s="24" t="s">
        <v>745</v>
      </c>
      <c r="B56" t="s">
        <v>610</v>
      </c>
      <c r="C56" s="7">
        <f t="shared" si="0"/>
        <v>1</v>
      </c>
      <c r="D56" s="8">
        <f t="shared" si="1"/>
        <v>1</v>
      </c>
      <c r="E56" s="9"/>
      <c r="F56" s="10" t="s">
        <v>610</v>
      </c>
      <c r="G56" s="10"/>
      <c r="H56" s="10"/>
      <c r="I56" s="9">
        <v>479971</v>
      </c>
      <c r="J56" s="1" t="s">
        <v>189</v>
      </c>
      <c r="K56" s="1" t="s">
        <v>190</v>
      </c>
    </row>
    <row r="57" spans="1:11" x14ac:dyDescent="0.2">
      <c r="A57" s="24" t="s">
        <v>565</v>
      </c>
      <c r="B57" t="s">
        <v>612</v>
      </c>
      <c r="C57" s="7">
        <f t="shared" si="0"/>
        <v>1</v>
      </c>
      <c r="D57" s="8">
        <f t="shared" si="1"/>
        <v>3</v>
      </c>
      <c r="E57" s="9" t="s">
        <v>1140</v>
      </c>
      <c r="F57" s="10" t="s">
        <v>612</v>
      </c>
      <c r="G57" s="10" t="s">
        <v>612</v>
      </c>
      <c r="H57" s="10"/>
      <c r="I57" s="9">
        <v>3757952</v>
      </c>
      <c r="J57" s="1" t="s">
        <v>29</v>
      </c>
      <c r="K57" s="1" t="s">
        <v>30</v>
      </c>
    </row>
    <row r="58" spans="1:11" x14ac:dyDescent="0.2">
      <c r="A58" s="24" t="s">
        <v>727</v>
      </c>
      <c r="B58" t="s">
        <v>616</v>
      </c>
      <c r="C58" s="7">
        <f t="shared" si="0"/>
        <v>1</v>
      </c>
      <c r="D58" s="8">
        <f t="shared" si="1"/>
        <v>1</v>
      </c>
      <c r="E58" s="9"/>
      <c r="F58" s="10" t="s">
        <v>616</v>
      </c>
      <c r="G58" s="10"/>
      <c r="H58" s="10"/>
      <c r="I58" s="9">
        <v>151523</v>
      </c>
      <c r="J58" s="1" t="s">
        <v>426</v>
      </c>
      <c r="K58" s="1" t="s">
        <v>338</v>
      </c>
    </row>
    <row r="59" spans="1:11" x14ac:dyDescent="0.2">
      <c r="A59" s="24" t="s">
        <v>580</v>
      </c>
      <c r="B59" t="s">
        <v>616</v>
      </c>
      <c r="C59" s="7">
        <f t="shared" si="0"/>
        <v>1</v>
      </c>
      <c r="D59" s="8">
        <f t="shared" si="1"/>
        <v>1</v>
      </c>
      <c r="E59" s="9" t="s">
        <v>1140</v>
      </c>
      <c r="F59" s="10"/>
      <c r="G59" s="10"/>
      <c r="H59" s="10"/>
      <c r="I59" s="9">
        <v>2253579</v>
      </c>
      <c r="J59" s="1" t="s">
        <v>55</v>
      </c>
      <c r="K59" s="1" t="s">
        <v>56</v>
      </c>
    </row>
    <row r="60" spans="1:11" x14ac:dyDescent="0.2">
      <c r="A60" s="24" t="s">
        <v>572</v>
      </c>
      <c r="B60" t="s">
        <v>616</v>
      </c>
      <c r="C60" s="7">
        <f t="shared" si="0"/>
        <v>1</v>
      </c>
      <c r="D60" s="8">
        <f t="shared" si="1"/>
        <v>3</v>
      </c>
      <c r="E60" s="9" t="s">
        <v>1140</v>
      </c>
      <c r="F60" s="10"/>
      <c r="G60" s="10" t="s">
        <v>616</v>
      </c>
      <c r="H60" s="10" t="s">
        <v>755</v>
      </c>
      <c r="I60" s="9">
        <v>2811927</v>
      </c>
      <c r="J60" s="1" t="s">
        <v>40</v>
      </c>
      <c r="K60" s="1" t="s">
        <v>41</v>
      </c>
    </row>
    <row r="61" spans="1:11" x14ac:dyDescent="0.2">
      <c r="A61" s="2" t="s">
        <v>683</v>
      </c>
      <c r="B61" t="s">
        <v>684</v>
      </c>
      <c r="C61" s="7">
        <f t="shared" si="0"/>
        <v>1</v>
      </c>
      <c r="D61" s="8">
        <f t="shared" si="1"/>
        <v>3</v>
      </c>
      <c r="E61" s="9"/>
      <c r="F61" s="10" t="s">
        <v>684</v>
      </c>
      <c r="G61" s="10" t="s">
        <v>684</v>
      </c>
      <c r="H61" s="10" t="s">
        <v>1192</v>
      </c>
      <c r="I61" s="9">
        <v>606178</v>
      </c>
      <c r="J61" s="1" t="s">
        <v>162</v>
      </c>
      <c r="K61" s="1" t="s">
        <v>163</v>
      </c>
    </row>
    <row r="62" spans="1:11" x14ac:dyDescent="0.2">
      <c r="A62" s="2" t="s">
        <v>725</v>
      </c>
      <c r="B62" t="s">
        <v>724</v>
      </c>
      <c r="C62" s="7">
        <f t="shared" si="0"/>
        <v>1</v>
      </c>
      <c r="D62" s="8">
        <f t="shared" si="1"/>
        <v>1</v>
      </c>
      <c r="E62" s="9"/>
      <c r="F62" s="10"/>
      <c r="G62" s="10" t="s">
        <v>724</v>
      </c>
      <c r="H62" s="10"/>
      <c r="I62" s="9">
        <v>192531</v>
      </c>
      <c r="J62" s="1" t="s">
        <v>360</v>
      </c>
      <c r="K62" s="1"/>
    </row>
    <row r="63" spans="1:11" x14ac:dyDescent="0.2">
      <c r="A63" s="2" t="s">
        <v>862</v>
      </c>
      <c r="B63" t="s">
        <v>724</v>
      </c>
      <c r="C63" s="7">
        <f t="shared" si="0"/>
        <v>1</v>
      </c>
      <c r="D63" s="8">
        <f t="shared" si="1"/>
        <v>1</v>
      </c>
      <c r="E63" s="9"/>
      <c r="F63" s="10"/>
      <c r="G63" s="10"/>
      <c r="H63" s="10" t="s">
        <v>766</v>
      </c>
      <c r="I63" s="9">
        <v>126984</v>
      </c>
      <c r="J63" s="1" t="s">
        <v>467</v>
      </c>
      <c r="K63" s="1"/>
    </row>
    <row r="64" spans="1:11" x14ac:dyDescent="0.2">
      <c r="A64" s="2" t="s">
        <v>730</v>
      </c>
      <c r="B64" t="s">
        <v>724</v>
      </c>
      <c r="C64" s="7">
        <f t="shared" si="0"/>
        <v>1</v>
      </c>
      <c r="D64" s="8">
        <f t="shared" si="1"/>
        <v>1</v>
      </c>
      <c r="E64" s="9"/>
      <c r="F64" s="10" t="s">
        <v>724</v>
      </c>
      <c r="G64" s="10"/>
      <c r="H64" s="10"/>
      <c r="I64" s="9">
        <v>96735</v>
      </c>
      <c r="J64" s="1" t="s">
        <v>525</v>
      </c>
      <c r="K64" s="1"/>
    </row>
    <row r="65" spans="1:11" x14ac:dyDescent="0.2">
      <c r="A65" s="26" t="s">
        <v>861</v>
      </c>
      <c r="B65" t="s">
        <v>614</v>
      </c>
      <c r="C65" s="7">
        <f t="shared" si="0"/>
        <v>1</v>
      </c>
      <c r="D65" s="8">
        <f t="shared" si="1"/>
        <v>1</v>
      </c>
      <c r="E65" s="9"/>
      <c r="F65" s="10"/>
      <c r="G65" s="10"/>
      <c r="H65" s="10" t="s">
        <v>760</v>
      </c>
      <c r="I65" s="9">
        <v>422333</v>
      </c>
      <c r="J65" s="1" t="s">
        <v>213</v>
      </c>
      <c r="K65" s="1" t="s">
        <v>214</v>
      </c>
    </row>
    <row r="66" spans="1:11" x14ac:dyDescent="0.2">
      <c r="A66" s="24" t="s">
        <v>570</v>
      </c>
      <c r="B66" t="s">
        <v>614</v>
      </c>
      <c r="C66" s="7">
        <f t="shared" ref="C66:C129" si="2">INT(NOT(AND(ISBLANK(E66),ISBLANK(F66),ISBLANK(G66),ISBLANK(H66))))</f>
        <v>1</v>
      </c>
      <c r="D66" s="8">
        <f t="shared" ref="D66:D129" si="3">4-(ISBLANK(E66)+ISBLANK(F66)+ISBLANK(G66)+ISBLANK(H66))</f>
        <v>2</v>
      </c>
      <c r="E66" s="9" t="s">
        <v>1140</v>
      </c>
      <c r="F66" s="10"/>
      <c r="G66" s="10" t="s">
        <v>614</v>
      </c>
      <c r="H66" s="10"/>
      <c r="I66" s="9">
        <v>2883370</v>
      </c>
      <c r="J66" s="1" t="s">
        <v>37</v>
      </c>
      <c r="K66" s="1" t="s">
        <v>38</v>
      </c>
    </row>
    <row r="67" spans="1:11" x14ac:dyDescent="0.2">
      <c r="A67" s="2" t="s">
        <v>681</v>
      </c>
      <c r="B67" t="s">
        <v>614</v>
      </c>
      <c r="C67" s="7">
        <f t="shared" si="2"/>
        <v>1</v>
      </c>
      <c r="D67" s="8">
        <f t="shared" si="3"/>
        <v>1</v>
      </c>
      <c r="E67" s="9"/>
      <c r="F67" s="10"/>
      <c r="G67" s="10"/>
      <c r="H67" s="10" t="s">
        <v>1195</v>
      </c>
      <c r="I67" s="9">
        <v>620522</v>
      </c>
      <c r="J67" s="1" t="s">
        <v>159</v>
      </c>
      <c r="K67" s="1" t="s">
        <v>74</v>
      </c>
    </row>
    <row r="68" spans="1:11" x14ac:dyDescent="0.2">
      <c r="A68" s="24" t="s">
        <v>596</v>
      </c>
      <c r="B68" t="s">
        <v>614</v>
      </c>
      <c r="C68" s="7">
        <f t="shared" si="2"/>
        <v>1</v>
      </c>
      <c r="D68" s="8">
        <f t="shared" si="3"/>
        <v>2</v>
      </c>
      <c r="E68" s="9" t="s">
        <v>1140</v>
      </c>
      <c r="F68" s="10" t="s">
        <v>614</v>
      </c>
      <c r="G68" s="10"/>
      <c r="H68" s="10"/>
      <c r="I68" s="9">
        <v>1562009</v>
      </c>
      <c r="J68" s="1" t="s">
        <v>73</v>
      </c>
      <c r="K68" s="1" t="s">
        <v>74</v>
      </c>
    </row>
    <row r="69" spans="1:11" x14ac:dyDescent="0.2">
      <c r="A69" s="24" t="s">
        <v>728</v>
      </c>
      <c r="B69" t="s">
        <v>715</v>
      </c>
      <c r="C69" s="7">
        <f t="shared" si="2"/>
        <v>1</v>
      </c>
      <c r="D69" s="8">
        <f t="shared" si="3"/>
        <v>1</v>
      </c>
      <c r="E69" s="9"/>
      <c r="F69" s="10" t="s">
        <v>715</v>
      </c>
      <c r="G69" s="10"/>
      <c r="H69" s="10"/>
      <c r="I69" s="9">
        <v>139183</v>
      </c>
      <c r="J69" s="1" t="s">
        <v>442</v>
      </c>
      <c r="K69" s="1"/>
    </row>
    <row r="70" spans="1:11" x14ac:dyDescent="0.2">
      <c r="A70" s="24" t="s">
        <v>716</v>
      </c>
      <c r="B70" t="s">
        <v>715</v>
      </c>
      <c r="C70" s="7">
        <f t="shared" si="2"/>
        <v>1</v>
      </c>
      <c r="D70" s="8">
        <f t="shared" si="3"/>
        <v>1</v>
      </c>
      <c r="E70" s="9"/>
      <c r="F70" s="10"/>
      <c r="G70" s="10" t="s">
        <v>715</v>
      </c>
      <c r="H70" s="10"/>
      <c r="I70" s="9">
        <v>267793</v>
      </c>
      <c r="J70" s="1" t="s">
        <v>292</v>
      </c>
      <c r="K70" s="1" t="s">
        <v>293</v>
      </c>
    </row>
    <row r="71" spans="1:11" x14ac:dyDescent="0.2">
      <c r="A71" s="24" t="s">
        <v>707</v>
      </c>
      <c r="B71" t="s">
        <v>638</v>
      </c>
      <c r="C71" s="7">
        <f t="shared" si="2"/>
        <v>1</v>
      </c>
      <c r="D71" s="8">
        <f t="shared" si="3"/>
        <v>1</v>
      </c>
      <c r="E71" s="9"/>
      <c r="F71" s="10" t="s">
        <v>638</v>
      </c>
      <c r="G71" s="10"/>
      <c r="H71" s="10"/>
      <c r="I71" s="9">
        <v>350626</v>
      </c>
      <c r="J71" s="1" t="s">
        <v>252</v>
      </c>
      <c r="K71" s="1" t="s">
        <v>253</v>
      </c>
    </row>
    <row r="72" spans="1:11" x14ac:dyDescent="0.2">
      <c r="A72" s="24" t="s">
        <v>637</v>
      </c>
      <c r="B72" t="s">
        <v>638</v>
      </c>
      <c r="C72" s="7">
        <f t="shared" si="2"/>
        <v>1</v>
      </c>
      <c r="D72" s="8">
        <f t="shared" si="3"/>
        <v>2</v>
      </c>
      <c r="E72" s="9" t="s">
        <v>1140</v>
      </c>
      <c r="F72" s="10"/>
      <c r="G72" s="10" t="s">
        <v>638</v>
      </c>
      <c r="H72" s="10"/>
      <c r="I72" s="9">
        <v>1001010</v>
      </c>
      <c r="J72" s="1" t="s">
        <v>100</v>
      </c>
      <c r="K72" s="1" t="s">
        <v>101</v>
      </c>
    </row>
    <row r="73" spans="1:11" x14ac:dyDescent="0.2">
      <c r="A73" s="24" t="s">
        <v>746</v>
      </c>
      <c r="B73" t="s">
        <v>699</v>
      </c>
      <c r="C73" s="7">
        <f t="shared" si="2"/>
        <v>1</v>
      </c>
      <c r="D73" s="8">
        <f t="shared" si="3"/>
        <v>1</v>
      </c>
      <c r="F73" s="12" t="s">
        <v>699</v>
      </c>
      <c r="I73" s="11">
        <v>43976</v>
      </c>
      <c r="J73" s="1" t="s">
        <v>747</v>
      </c>
    </row>
    <row r="74" spans="1:11" x14ac:dyDescent="0.2">
      <c r="A74" s="24" t="s">
        <v>700</v>
      </c>
      <c r="B74" t="s">
        <v>699</v>
      </c>
      <c r="C74" s="7">
        <f t="shared" si="2"/>
        <v>1</v>
      </c>
      <c r="D74" s="8">
        <f t="shared" si="3"/>
        <v>1</v>
      </c>
      <c r="E74" s="9"/>
      <c r="F74" s="10"/>
      <c r="G74" s="10" t="s">
        <v>699</v>
      </c>
      <c r="H74" s="10"/>
      <c r="I74" s="9">
        <v>430462</v>
      </c>
      <c r="J74" s="1" t="s">
        <v>208</v>
      </c>
      <c r="K74" s="1" t="s">
        <v>21</v>
      </c>
    </row>
    <row r="75" spans="1:11" x14ac:dyDescent="0.2">
      <c r="A75" s="26" t="s">
        <v>887</v>
      </c>
      <c r="B75" t="s">
        <v>703</v>
      </c>
      <c r="C75" s="7">
        <f t="shared" si="2"/>
        <v>1</v>
      </c>
      <c r="D75" s="8">
        <f t="shared" si="3"/>
        <v>1</v>
      </c>
      <c r="E75" s="9"/>
      <c r="F75" s="10"/>
      <c r="G75" s="10"/>
      <c r="H75" s="10" t="s">
        <v>1189</v>
      </c>
      <c r="I75" s="9">
        <v>372989</v>
      </c>
      <c r="J75" s="1" t="s">
        <v>242</v>
      </c>
      <c r="K75" s="1" t="s">
        <v>17</v>
      </c>
    </row>
    <row r="76" spans="1:11" x14ac:dyDescent="0.2">
      <c r="A76" s="24" t="s">
        <v>704</v>
      </c>
      <c r="B76" t="s">
        <v>703</v>
      </c>
      <c r="C76" s="7">
        <f t="shared" si="2"/>
        <v>1</v>
      </c>
      <c r="D76" s="8">
        <f t="shared" si="3"/>
        <v>2</v>
      </c>
      <c r="E76" s="9"/>
      <c r="F76" s="10" t="s">
        <v>703</v>
      </c>
      <c r="G76" s="10" t="s">
        <v>703</v>
      </c>
      <c r="H76" s="10"/>
      <c r="I76" s="9">
        <v>392138</v>
      </c>
      <c r="J76" s="1" t="s">
        <v>231</v>
      </c>
      <c r="K76" s="1" t="s">
        <v>1</v>
      </c>
    </row>
    <row r="77" spans="1:11" x14ac:dyDescent="0.2">
      <c r="A77" s="24" t="s">
        <v>648</v>
      </c>
      <c r="B77" t="s">
        <v>649</v>
      </c>
      <c r="C77" s="7">
        <f t="shared" si="2"/>
        <v>1</v>
      </c>
      <c r="D77" s="8">
        <f t="shared" si="3"/>
        <v>1</v>
      </c>
      <c r="E77" s="9"/>
      <c r="F77" s="10"/>
      <c r="G77" s="10" t="s">
        <v>649</v>
      </c>
      <c r="H77" s="10"/>
      <c r="I77" s="9">
        <v>926303</v>
      </c>
      <c r="J77" s="1" t="s">
        <v>112</v>
      </c>
      <c r="K77" s="1" t="s">
        <v>113</v>
      </c>
    </row>
    <row r="78" spans="1:11" x14ac:dyDescent="0.2">
      <c r="A78" s="24" t="s">
        <v>726</v>
      </c>
      <c r="B78" t="s">
        <v>649</v>
      </c>
      <c r="C78" s="7">
        <f t="shared" si="2"/>
        <v>1</v>
      </c>
      <c r="D78" s="8">
        <f t="shared" si="3"/>
        <v>2</v>
      </c>
      <c r="E78" s="9"/>
      <c r="F78" s="10" t="s">
        <v>649</v>
      </c>
      <c r="G78" s="10"/>
      <c r="H78" s="10" t="s">
        <v>761</v>
      </c>
      <c r="I78" s="9">
        <v>157765</v>
      </c>
      <c r="J78" s="1" t="s">
        <v>409</v>
      </c>
      <c r="K78" s="1" t="s">
        <v>113</v>
      </c>
    </row>
    <row r="79" spans="1:11" x14ac:dyDescent="0.2">
      <c r="A79" s="2" t="s">
        <v>729</v>
      </c>
      <c r="B79" t="s">
        <v>618</v>
      </c>
      <c r="C79" s="7">
        <f t="shared" si="2"/>
        <v>1</v>
      </c>
      <c r="D79" s="8">
        <f t="shared" si="3"/>
        <v>2</v>
      </c>
      <c r="E79" s="9"/>
      <c r="F79" s="10" t="s">
        <v>618</v>
      </c>
      <c r="G79" s="10"/>
      <c r="H79" s="10" t="s">
        <v>778</v>
      </c>
      <c r="I79" s="9">
        <v>58148</v>
      </c>
      <c r="J79" s="1" t="s">
        <v>546</v>
      </c>
      <c r="K79" s="1" t="s">
        <v>172</v>
      </c>
    </row>
    <row r="80" spans="1:11" x14ac:dyDescent="0.2">
      <c r="A80" s="24" t="s">
        <v>578</v>
      </c>
      <c r="B80" t="s">
        <v>618</v>
      </c>
      <c r="C80" s="7">
        <f t="shared" si="2"/>
        <v>1</v>
      </c>
      <c r="D80" s="8">
        <f t="shared" si="3"/>
        <v>2</v>
      </c>
      <c r="E80" s="9" t="s">
        <v>1140</v>
      </c>
      <c r="F80" s="10"/>
      <c r="G80" s="10" t="s">
        <v>618</v>
      </c>
      <c r="H80" s="10"/>
      <c r="I80" s="9">
        <v>2398871</v>
      </c>
      <c r="J80" s="1" t="s">
        <v>51</v>
      </c>
      <c r="K80" s="1" t="s">
        <v>52</v>
      </c>
    </row>
    <row r="81" spans="1:11" x14ac:dyDescent="0.2">
      <c r="A81" s="24" t="s">
        <v>652</v>
      </c>
      <c r="B81" t="s">
        <v>588</v>
      </c>
      <c r="C81" s="7">
        <f t="shared" si="2"/>
        <v>1</v>
      </c>
      <c r="D81" s="8">
        <f t="shared" si="3"/>
        <v>1</v>
      </c>
      <c r="E81" s="9"/>
      <c r="F81" s="10" t="s">
        <v>588</v>
      </c>
      <c r="G81" s="10"/>
      <c r="H81" s="10"/>
      <c r="I81" s="9">
        <v>913485</v>
      </c>
      <c r="J81" s="1" t="s">
        <v>117</v>
      </c>
      <c r="K81" s="1" t="s">
        <v>118</v>
      </c>
    </row>
    <row r="82" spans="1:11" x14ac:dyDescent="0.2">
      <c r="A82" s="24" t="s">
        <v>633</v>
      </c>
      <c r="B82" t="s">
        <v>588</v>
      </c>
      <c r="C82" s="7">
        <f t="shared" si="2"/>
        <v>1</v>
      </c>
      <c r="D82" s="8">
        <f t="shared" si="3"/>
        <v>1</v>
      </c>
      <c r="E82" s="9" t="s">
        <v>1140</v>
      </c>
      <c r="F82" s="10"/>
      <c r="G82" s="10"/>
      <c r="H82" s="10"/>
      <c r="I82" s="9">
        <v>1160172</v>
      </c>
      <c r="J82" s="1" t="s">
        <v>92</v>
      </c>
      <c r="K82" s="1" t="s">
        <v>93</v>
      </c>
    </row>
    <row r="83" spans="1:11" x14ac:dyDescent="0.2">
      <c r="A83" s="24" t="s">
        <v>550</v>
      </c>
      <c r="B83" t="s">
        <v>588</v>
      </c>
      <c r="C83" s="7">
        <f t="shared" si="2"/>
        <v>1</v>
      </c>
      <c r="D83" s="8">
        <f t="shared" si="3"/>
        <v>3</v>
      </c>
      <c r="E83" s="9" t="s">
        <v>1140</v>
      </c>
      <c r="F83" s="10"/>
      <c r="G83" s="10" t="s">
        <v>588</v>
      </c>
      <c r="H83" s="10" t="s">
        <v>753</v>
      </c>
      <c r="I83" s="9">
        <v>19940274</v>
      </c>
      <c r="J83" s="1" t="s">
        <v>0</v>
      </c>
      <c r="K83" s="1" t="s">
        <v>1</v>
      </c>
    </row>
    <row r="84" spans="1:11" x14ac:dyDescent="0.2">
      <c r="A84" s="24" t="s">
        <v>636</v>
      </c>
      <c r="B84" t="s">
        <v>588</v>
      </c>
      <c r="C84" s="7">
        <f t="shared" si="2"/>
        <v>1</v>
      </c>
      <c r="D84" s="8">
        <f t="shared" si="3"/>
        <v>1</v>
      </c>
      <c r="E84" s="9" t="s">
        <v>1140</v>
      </c>
      <c r="F84" s="10"/>
      <c r="G84" s="10"/>
      <c r="H84" s="10"/>
      <c r="I84" s="9">
        <v>1057218</v>
      </c>
      <c r="J84" s="1" t="s">
        <v>98</v>
      </c>
      <c r="K84" s="1" t="s">
        <v>99</v>
      </c>
    </row>
    <row r="85" spans="1:11" x14ac:dyDescent="0.2">
      <c r="A85" s="24" t="s">
        <v>579</v>
      </c>
      <c r="B85" t="s">
        <v>619</v>
      </c>
      <c r="C85" s="7">
        <f t="shared" si="2"/>
        <v>1</v>
      </c>
      <c r="D85" s="8">
        <f t="shared" si="3"/>
        <v>2</v>
      </c>
      <c r="E85" s="9" t="s">
        <v>1140</v>
      </c>
      <c r="F85" s="10"/>
      <c r="G85" s="10" t="s">
        <v>619</v>
      </c>
      <c r="H85" s="10"/>
      <c r="I85" s="9">
        <v>2302815</v>
      </c>
      <c r="J85" s="1" t="s">
        <v>53</v>
      </c>
      <c r="K85" s="1" t="s">
        <v>54</v>
      </c>
    </row>
    <row r="86" spans="1:11" x14ac:dyDescent="0.2">
      <c r="A86" s="24" t="s">
        <v>583</v>
      </c>
      <c r="B86" t="s">
        <v>619</v>
      </c>
      <c r="C86" s="7">
        <f t="shared" si="2"/>
        <v>1</v>
      </c>
      <c r="D86" s="8">
        <f t="shared" si="3"/>
        <v>1</v>
      </c>
      <c r="E86" s="9" t="s">
        <v>1140</v>
      </c>
      <c r="F86" s="10"/>
      <c r="G86" s="10"/>
      <c r="H86" s="10"/>
      <c r="I86" s="9">
        <v>2171877</v>
      </c>
      <c r="J86" s="1" t="s">
        <v>61</v>
      </c>
      <c r="K86" s="1" t="s">
        <v>62</v>
      </c>
    </row>
    <row r="87" spans="1:11" x14ac:dyDescent="0.2">
      <c r="A87" s="24" t="s">
        <v>581</v>
      </c>
      <c r="B87" t="s">
        <v>619</v>
      </c>
      <c r="C87" s="7">
        <f t="shared" si="2"/>
        <v>1</v>
      </c>
      <c r="D87" s="8">
        <f t="shared" si="3"/>
        <v>2</v>
      </c>
      <c r="E87" s="9" t="s">
        <v>1140</v>
      </c>
      <c r="F87" s="10" t="s">
        <v>619</v>
      </c>
      <c r="G87" s="10"/>
      <c r="H87" s="10"/>
      <c r="I87" s="9">
        <v>2225377</v>
      </c>
      <c r="J87" s="1" t="s">
        <v>57</v>
      </c>
      <c r="K87" s="1" t="s">
        <v>58</v>
      </c>
    </row>
    <row r="88" spans="1:11" x14ac:dyDescent="0.2">
      <c r="A88" s="2" t="s">
        <v>597</v>
      </c>
      <c r="B88" t="s">
        <v>625</v>
      </c>
      <c r="C88" s="7">
        <f t="shared" si="2"/>
        <v>1</v>
      </c>
      <c r="D88" s="8">
        <f t="shared" si="3"/>
        <v>3</v>
      </c>
      <c r="E88" s="9" t="s">
        <v>1140</v>
      </c>
      <c r="F88" s="10" t="s">
        <v>625</v>
      </c>
      <c r="G88" s="10" t="s">
        <v>625</v>
      </c>
      <c r="H88" s="10"/>
      <c r="I88" s="9">
        <v>1497821</v>
      </c>
      <c r="J88" s="1" t="s">
        <v>75</v>
      </c>
      <c r="K88" s="1" t="s">
        <v>76</v>
      </c>
    </row>
    <row r="89" spans="1:11" x14ac:dyDescent="0.2">
      <c r="A89" s="2" t="s">
        <v>635</v>
      </c>
      <c r="B89" t="s">
        <v>625</v>
      </c>
      <c r="C89" s="7">
        <f t="shared" si="2"/>
        <v>1</v>
      </c>
      <c r="D89" s="8">
        <f t="shared" si="3"/>
        <v>1</v>
      </c>
      <c r="E89" s="9" t="s">
        <v>1140</v>
      </c>
      <c r="F89" s="10"/>
      <c r="G89" s="10"/>
      <c r="H89" s="10"/>
      <c r="I89" s="9">
        <v>1059803</v>
      </c>
      <c r="J89" s="1" t="s">
        <v>96</v>
      </c>
      <c r="K89" s="1" t="s">
        <v>97</v>
      </c>
    </row>
    <row r="90" spans="1:11" x14ac:dyDescent="0.2">
      <c r="A90" s="2" t="s">
        <v>860</v>
      </c>
      <c r="B90" t="s">
        <v>617</v>
      </c>
      <c r="C90" s="7">
        <f t="shared" si="2"/>
        <v>1</v>
      </c>
      <c r="D90" s="8">
        <f t="shared" si="3"/>
        <v>1</v>
      </c>
      <c r="E90" s="9"/>
      <c r="F90" s="10"/>
      <c r="G90" s="10"/>
      <c r="H90" s="10" t="s">
        <v>763</v>
      </c>
      <c r="I90" s="9">
        <v>88276</v>
      </c>
      <c r="J90" s="1" t="s">
        <v>529</v>
      </c>
      <c r="K90" s="1" t="s">
        <v>335</v>
      </c>
    </row>
    <row r="91" spans="1:11" x14ac:dyDescent="0.2">
      <c r="A91" s="2" t="s">
        <v>575</v>
      </c>
      <c r="B91" t="s">
        <v>617</v>
      </c>
      <c r="C91" s="7">
        <f t="shared" si="2"/>
        <v>1</v>
      </c>
      <c r="D91" s="8">
        <f t="shared" si="3"/>
        <v>2</v>
      </c>
      <c r="E91" s="9" t="s">
        <v>1140</v>
      </c>
      <c r="F91" s="10"/>
      <c r="G91" s="10" t="s">
        <v>617</v>
      </c>
      <c r="H91" s="10"/>
      <c r="I91" s="9">
        <v>2537904</v>
      </c>
      <c r="J91" s="1" t="s">
        <v>45</v>
      </c>
      <c r="K91" s="1" t="s">
        <v>46</v>
      </c>
    </row>
    <row r="92" spans="1:11" x14ac:dyDescent="0.2">
      <c r="A92" s="2" t="s">
        <v>710</v>
      </c>
      <c r="B92" t="s">
        <v>617</v>
      </c>
      <c r="C92" s="7">
        <f t="shared" si="2"/>
        <v>1</v>
      </c>
      <c r="D92" s="8">
        <f t="shared" si="3"/>
        <v>1</v>
      </c>
      <c r="E92" s="9"/>
      <c r="F92" s="10" t="s">
        <v>617</v>
      </c>
      <c r="G92" s="10"/>
      <c r="H92" s="10"/>
      <c r="I92" s="9">
        <v>443416</v>
      </c>
      <c r="J92" s="1" t="s">
        <v>201</v>
      </c>
      <c r="K92" s="1" t="s">
        <v>46</v>
      </c>
    </row>
    <row r="93" spans="1:11" x14ac:dyDescent="0.2">
      <c r="A93" s="26" t="s">
        <v>653</v>
      </c>
      <c r="B93" t="s">
        <v>604</v>
      </c>
      <c r="C93" s="7">
        <f t="shared" si="2"/>
        <v>1</v>
      </c>
      <c r="D93" s="8">
        <f t="shared" si="3"/>
        <v>1</v>
      </c>
      <c r="E93" s="9"/>
      <c r="F93" s="10"/>
      <c r="G93" s="10"/>
      <c r="H93" s="10" t="s">
        <v>759</v>
      </c>
      <c r="I93" s="9">
        <v>886418</v>
      </c>
      <c r="J93" s="1" t="s">
        <v>119</v>
      </c>
      <c r="K93" s="1" t="s">
        <v>120</v>
      </c>
    </row>
    <row r="94" spans="1:11" x14ac:dyDescent="0.2">
      <c r="A94" s="24" t="s">
        <v>682</v>
      </c>
      <c r="B94" t="s">
        <v>604</v>
      </c>
      <c r="C94" s="7">
        <f t="shared" si="2"/>
        <v>1</v>
      </c>
      <c r="D94" s="8">
        <f t="shared" si="3"/>
        <v>1</v>
      </c>
      <c r="E94" s="9"/>
      <c r="F94" s="10" t="s">
        <v>604</v>
      </c>
      <c r="G94" s="10"/>
      <c r="H94" s="10"/>
      <c r="I94" s="9">
        <v>615361</v>
      </c>
      <c r="J94" s="1" t="s">
        <v>160</v>
      </c>
      <c r="K94" s="1" t="s">
        <v>161</v>
      </c>
    </row>
    <row r="95" spans="1:11" x14ac:dyDescent="0.2">
      <c r="A95" s="24" t="s">
        <v>558</v>
      </c>
      <c r="B95" t="s">
        <v>604</v>
      </c>
      <c r="C95" s="7">
        <f t="shared" si="2"/>
        <v>1</v>
      </c>
      <c r="D95" s="8">
        <f t="shared" si="3"/>
        <v>3</v>
      </c>
      <c r="E95" s="9" t="s">
        <v>1140</v>
      </c>
      <c r="F95" s="10"/>
      <c r="G95" s="10" t="s">
        <v>604</v>
      </c>
      <c r="H95" s="10" t="s">
        <v>773</v>
      </c>
      <c r="I95" s="9">
        <v>6330422</v>
      </c>
      <c r="J95" s="1" t="s">
        <v>16</v>
      </c>
      <c r="K95" s="1" t="s">
        <v>17</v>
      </c>
    </row>
    <row r="96" spans="1:11" x14ac:dyDescent="0.2">
      <c r="A96" s="24" t="s">
        <v>577</v>
      </c>
      <c r="B96" t="s">
        <v>604</v>
      </c>
      <c r="C96" s="7">
        <f t="shared" si="2"/>
        <v>1</v>
      </c>
      <c r="D96" s="8">
        <f t="shared" si="3"/>
        <v>1</v>
      </c>
      <c r="E96" s="9" t="s">
        <v>1140</v>
      </c>
      <c r="F96" s="10"/>
      <c r="G96" s="10"/>
      <c r="H96" s="10"/>
      <c r="I96" s="9">
        <v>2429917</v>
      </c>
      <c r="J96" s="1" t="s">
        <v>49</v>
      </c>
      <c r="K96" s="1" t="s">
        <v>50</v>
      </c>
    </row>
    <row r="97" spans="1:11" x14ac:dyDescent="0.2">
      <c r="A97" s="24" t="s">
        <v>733</v>
      </c>
      <c r="B97" t="s">
        <v>734</v>
      </c>
      <c r="C97" s="7">
        <f t="shared" si="2"/>
        <v>1</v>
      </c>
      <c r="D97" s="8">
        <f t="shared" si="3"/>
        <v>4</v>
      </c>
      <c r="E97" s="9" t="s">
        <v>1140</v>
      </c>
      <c r="F97" s="12" t="s">
        <v>734</v>
      </c>
      <c r="G97" s="12" t="s">
        <v>734</v>
      </c>
      <c r="H97" s="12" t="s">
        <v>772</v>
      </c>
      <c r="I97" s="11">
        <v>2035484</v>
      </c>
      <c r="J97" s="1" t="s">
        <v>735</v>
      </c>
      <c r="K97" t="s">
        <v>736</v>
      </c>
    </row>
    <row r="98" spans="1:11" x14ac:dyDescent="0.2">
      <c r="A98" s="24" t="s">
        <v>594</v>
      </c>
      <c r="B98" t="s">
        <v>623</v>
      </c>
      <c r="C98" s="7">
        <f t="shared" si="2"/>
        <v>1</v>
      </c>
      <c r="D98" s="8">
        <f t="shared" si="3"/>
        <v>4</v>
      </c>
      <c r="E98" s="9" t="s">
        <v>1140</v>
      </c>
      <c r="F98" s="10" t="s">
        <v>623</v>
      </c>
      <c r="G98" s="10" t="s">
        <v>623</v>
      </c>
      <c r="H98" s="10" t="s">
        <v>769</v>
      </c>
      <c r="I98" s="9">
        <v>1700901</v>
      </c>
      <c r="J98" s="1" t="s">
        <v>70</v>
      </c>
      <c r="K98" s="1" t="s">
        <v>21</v>
      </c>
    </row>
    <row r="99" spans="1:11" x14ac:dyDescent="0.2">
      <c r="A99" s="24" t="s">
        <v>658</v>
      </c>
      <c r="B99" t="s">
        <v>642</v>
      </c>
      <c r="C99" s="7">
        <f t="shared" si="2"/>
        <v>1</v>
      </c>
      <c r="D99" s="8">
        <f t="shared" si="3"/>
        <v>1</v>
      </c>
      <c r="E99" s="9"/>
      <c r="F99" s="10"/>
      <c r="G99" s="10"/>
      <c r="H99" s="10" t="s">
        <v>774</v>
      </c>
      <c r="I99" s="9">
        <v>869940</v>
      </c>
      <c r="J99" s="1" t="s">
        <v>128</v>
      </c>
      <c r="K99" s="1"/>
    </row>
    <row r="100" spans="1:11" x14ac:dyDescent="0.2">
      <c r="A100" s="24" t="s">
        <v>657</v>
      </c>
      <c r="B100" t="s">
        <v>642</v>
      </c>
      <c r="C100" s="7">
        <f t="shared" si="2"/>
        <v>1</v>
      </c>
      <c r="D100" s="8">
        <f t="shared" si="3"/>
        <v>1</v>
      </c>
      <c r="E100" s="9"/>
      <c r="F100" s="10" t="s">
        <v>642</v>
      </c>
      <c r="G100" s="10"/>
      <c r="H100" s="10"/>
      <c r="I100" s="9">
        <v>870193</v>
      </c>
      <c r="J100" s="1" t="s">
        <v>126</v>
      </c>
      <c r="K100" s="1" t="s">
        <v>127</v>
      </c>
    </row>
    <row r="101" spans="1:11" x14ac:dyDescent="0.2">
      <c r="A101" s="26" t="s">
        <v>641</v>
      </c>
      <c r="B101" t="s">
        <v>642</v>
      </c>
      <c r="C101" s="7">
        <f t="shared" si="2"/>
        <v>1</v>
      </c>
      <c r="D101" s="8">
        <f t="shared" si="3"/>
        <v>1</v>
      </c>
      <c r="E101" s="9"/>
      <c r="F101" s="10"/>
      <c r="G101" s="10" t="s">
        <v>642</v>
      </c>
      <c r="H101" s="10"/>
      <c r="I101" s="9">
        <v>996680</v>
      </c>
      <c r="J101" s="1" t="s">
        <v>103</v>
      </c>
      <c r="K101" s="1" t="s">
        <v>104</v>
      </c>
    </row>
    <row r="102" spans="1:11" x14ac:dyDescent="0.2">
      <c r="A102" s="24" t="s">
        <v>748</v>
      </c>
      <c r="B102" t="s">
        <v>712</v>
      </c>
      <c r="C102" s="7">
        <f t="shared" si="2"/>
        <v>1</v>
      </c>
      <c r="D102" s="8">
        <f t="shared" si="3"/>
        <v>1</v>
      </c>
      <c r="F102" s="12" t="s">
        <v>712</v>
      </c>
      <c r="I102" s="11">
        <v>14091</v>
      </c>
      <c r="J102" s="1" t="s">
        <v>749</v>
      </c>
    </row>
    <row r="103" spans="1:11" x14ac:dyDescent="0.2">
      <c r="A103" s="24" t="s">
        <v>858</v>
      </c>
      <c r="B103" t="s">
        <v>712</v>
      </c>
      <c r="C103" s="7">
        <f t="shared" si="2"/>
        <v>1</v>
      </c>
      <c r="D103" s="8">
        <f t="shared" si="3"/>
        <v>1</v>
      </c>
      <c r="E103" s="9"/>
      <c r="F103" s="10"/>
      <c r="G103" s="10"/>
      <c r="H103" s="10" t="s">
        <v>777</v>
      </c>
      <c r="I103" s="9">
        <v>156227</v>
      </c>
      <c r="J103" s="1" t="s">
        <v>416</v>
      </c>
      <c r="K103" s="1" t="s">
        <v>417</v>
      </c>
    </row>
    <row r="104" spans="1:11" x14ac:dyDescent="0.2">
      <c r="A104" s="24" t="s">
        <v>713</v>
      </c>
      <c r="B104" t="s">
        <v>712</v>
      </c>
      <c r="C104" s="7">
        <f t="shared" si="2"/>
        <v>1</v>
      </c>
      <c r="D104" s="8">
        <f t="shared" si="3"/>
        <v>1</v>
      </c>
      <c r="E104" s="9"/>
      <c r="F104" s="10"/>
      <c r="G104" s="10" t="s">
        <v>712</v>
      </c>
      <c r="H104" s="10"/>
      <c r="I104" s="9">
        <v>308266</v>
      </c>
      <c r="J104" s="1" t="s">
        <v>271</v>
      </c>
      <c r="K104" s="1"/>
    </row>
    <row r="105" spans="1:11" x14ac:dyDescent="0.2">
      <c r="A105" s="24" t="s">
        <v>646</v>
      </c>
      <c r="B105" t="s">
        <v>621</v>
      </c>
      <c r="C105" s="7">
        <f t="shared" si="2"/>
        <v>1</v>
      </c>
      <c r="D105" s="8">
        <f t="shared" si="3"/>
        <v>1</v>
      </c>
      <c r="E105" s="9"/>
      <c r="F105" s="10"/>
      <c r="G105" s="10"/>
      <c r="H105" s="10" t="s">
        <v>1138</v>
      </c>
      <c r="I105" s="9">
        <v>957608</v>
      </c>
      <c r="J105" s="1" t="s">
        <v>108</v>
      </c>
      <c r="K105" s="1" t="s">
        <v>109</v>
      </c>
    </row>
    <row r="106" spans="1:11" x14ac:dyDescent="0.2">
      <c r="A106" s="2" t="s">
        <v>600</v>
      </c>
      <c r="B106" t="s">
        <v>621</v>
      </c>
      <c r="C106" s="7">
        <f t="shared" si="2"/>
        <v>1</v>
      </c>
      <c r="D106" s="8">
        <f t="shared" si="3"/>
        <v>1</v>
      </c>
      <c r="E106" s="9" t="s">
        <v>1140</v>
      </c>
      <c r="F106" s="10"/>
      <c r="G106" s="10"/>
      <c r="H106" s="10"/>
      <c r="I106" s="9">
        <v>1339345</v>
      </c>
      <c r="J106" s="1" t="s">
        <v>80</v>
      </c>
      <c r="K106" s="1" t="s">
        <v>81</v>
      </c>
    </row>
    <row r="107" spans="1:11" x14ac:dyDescent="0.2">
      <c r="A107" s="24" t="s">
        <v>584</v>
      </c>
      <c r="B107" t="s">
        <v>621</v>
      </c>
      <c r="C107" s="7">
        <f t="shared" si="2"/>
        <v>1</v>
      </c>
      <c r="D107" s="8">
        <f t="shared" si="3"/>
        <v>3</v>
      </c>
      <c r="E107" s="9" t="s">
        <v>1140</v>
      </c>
      <c r="F107" s="10" t="s">
        <v>621</v>
      </c>
      <c r="G107" s="10" t="s">
        <v>621</v>
      </c>
      <c r="H107" s="10"/>
      <c r="I107" s="9">
        <v>2150553</v>
      </c>
      <c r="J107" s="1" t="s">
        <v>63</v>
      </c>
      <c r="K107" s="1" t="s">
        <v>64</v>
      </c>
    </row>
    <row r="108" spans="1:11" x14ac:dyDescent="0.2">
      <c r="A108" s="2" t="s">
        <v>574</v>
      </c>
      <c r="B108" t="s">
        <v>607</v>
      </c>
      <c r="C108" s="7">
        <f t="shared" si="2"/>
        <v>1</v>
      </c>
      <c r="D108" s="8">
        <f t="shared" si="3"/>
        <v>2</v>
      </c>
      <c r="E108" s="9" t="s">
        <v>1140</v>
      </c>
      <c r="F108" s="10" t="s">
        <v>607</v>
      </c>
      <c r="G108" s="10"/>
      <c r="H108" s="10"/>
      <c r="I108" s="9">
        <v>2550637</v>
      </c>
      <c r="J108" s="1" t="s">
        <v>44</v>
      </c>
      <c r="K108" s="1"/>
    </row>
    <row r="109" spans="1:11" x14ac:dyDescent="0.2">
      <c r="A109" s="2" t="s">
        <v>553</v>
      </c>
      <c r="B109" t="s">
        <v>607</v>
      </c>
      <c r="C109" s="7">
        <f t="shared" si="2"/>
        <v>1</v>
      </c>
      <c r="D109" s="8">
        <f t="shared" si="3"/>
        <v>2</v>
      </c>
      <c r="E109" s="9" t="s">
        <v>1140</v>
      </c>
      <c r="F109" s="10"/>
      <c r="G109" s="10" t="s">
        <v>607</v>
      </c>
      <c r="H109" s="10"/>
      <c r="I109" s="9">
        <v>8344032</v>
      </c>
      <c r="J109" s="1" t="s">
        <v>6</v>
      </c>
      <c r="K109" s="1" t="s">
        <v>7</v>
      </c>
    </row>
    <row r="110" spans="1:11" x14ac:dyDescent="0.2">
      <c r="A110" s="2" t="s">
        <v>656</v>
      </c>
      <c r="B110" t="s">
        <v>607</v>
      </c>
      <c r="C110" s="7">
        <f t="shared" si="2"/>
        <v>1</v>
      </c>
      <c r="D110" s="8">
        <f t="shared" si="3"/>
        <v>1</v>
      </c>
      <c r="E110" s="9"/>
      <c r="F110" s="10"/>
      <c r="G110" s="10"/>
      <c r="H110" s="10" t="s">
        <v>758</v>
      </c>
      <c r="I110" s="9">
        <v>879392</v>
      </c>
      <c r="J110" s="1" t="s">
        <v>124</v>
      </c>
      <c r="K110" s="1" t="s">
        <v>125</v>
      </c>
    </row>
    <row r="111" spans="1:11" x14ac:dyDescent="0.2">
      <c r="A111" s="2" t="s">
        <v>554</v>
      </c>
      <c r="B111" t="s">
        <v>607</v>
      </c>
      <c r="C111" s="7">
        <f t="shared" si="2"/>
        <v>1</v>
      </c>
      <c r="D111" s="8">
        <f t="shared" si="3"/>
        <v>1</v>
      </c>
      <c r="E111" s="9" t="s">
        <v>1140</v>
      </c>
      <c r="F111" s="10"/>
      <c r="G111" s="10"/>
      <c r="H111" s="10"/>
      <c r="I111" s="9">
        <v>7796182</v>
      </c>
      <c r="J111" s="1" t="s">
        <v>8</v>
      </c>
      <c r="K111" s="1" t="s">
        <v>9</v>
      </c>
    </row>
    <row r="112" spans="1:11" x14ac:dyDescent="0.2">
      <c r="A112" s="2" t="s">
        <v>573</v>
      </c>
      <c r="B112" t="s">
        <v>607</v>
      </c>
      <c r="C112" s="7">
        <f t="shared" si="2"/>
        <v>1</v>
      </c>
      <c r="D112" s="8">
        <f t="shared" si="3"/>
        <v>2</v>
      </c>
      <c r="E112" s="9" t="s">
        <v>1140</v>
      </c>
      <c r="F112" s="10"/>
      <c r="G112" s="10"/>
      <c r="H112" s="10" t="s">
        <v>756</v>
      </c>
      <c r="I112" s="9">
        <v>2763006</v>
      </c>
      <c r="J112" s="1" t="s">
        <v>42</v>
      </c>
      <c r="K112" s="1" t="s">
        <v>43</v>
      </c>
    </row>
    <row r="113" spans="1:11" x14ac:dyDescent="0.2">
      <c r="A113" s="2" t="s">
        <v>601</v>
      </c>
      <c r="B113" t="s">
        <v>627</v>
      </c>
      <c r="C113" s="7">
        <f t="shared" si="2"/>
        <v>1</v>
      </c>
      <c r="D113" s="8">
        <f t="shared" si="3"/>
        <v>3</v>
      </c>
      <c r="E113" s="9" t="s">
        <v>1140</v>
      </c>
      <c r="F113" s="10" t="s">
        <v>627</v>
      </c>
      <c r="G113" s="10" t="s">
        <v>627</v>
      </c>
      <c r="H113" s="10"/>
      <c r="I113" s="9">
        <v>1300762</v>
      </c>
      <c r="J113" s="1" t="s">
        <v>82</v>
      </c>
      <c r="K113" s="1" t="s">
        <v>83</v>
      </c>
    </row>
    <row r="114" spans="1:11" x14ac:dyDescent="0.2">
      <c r="A114" s="24" t="s">
        <v>857</v>
      </c>
      <c r="B114" t="s">
        <v>622</v>
      </c>
      <c r="C114" s="7">
        <f t="shared" si="2"/>
        <v>1</v>
      </c>
      <c r="D114" s="8">
        <f t="shared" si="3"/>
        <v>1</v>
      </c>
      <c r="E114" s="9"/>
      <c r="F114" s="10"/>
      <c r="G114" s="10"/>
      <c r="H114" s="10" t="s">
        <v>1141</v>
      </c>
      <c r="I114" s="9">
        <v>227336</v>
      </c>
      <c r="J114" s="1" t="s">
        <v>327</v>
      </c>
      <c r="K114" s="1"/>
    </row>
    <row r="115" spans="1:11" x14ac:dyDescent="0.2">
      <c r="A115" s="24" t="s">
        <v>599</v>
      </c>
      <c r="B115" t="s">
        <v>622</v>
      </c>
      <c r="C115" s="7">
        <f t="shared" si="2"/>
        <v>1</v>
      </c>
      <c r="D115" s="8">
        <f t="shared" si="3"/>
        <v>2</v>
      </c>
      <c r="E115" s="9" t="s">
        <v>1140</v>
      </c>
      <c r="F115" s="10" t="s">
        <v>622</v>
      </c>
      <c r="G115" s="10"/>
      <c r="H115" s="10"/>
      <c r="I115" s="9">
        <v>1370165</v>
      </c>
      <c r="J115" s="1" t="s">
        <v>79</v>
      </c>
      <c r="K115" s="1"/>
    </row>
    <row r="116" spans="1:11" x14ac:dyDescent="0.2">
      <c r="A116" s="24" t="s">
        <v>592</v>
      </c>
      <c r="B116" t="s">
        <v>622</v>
      </c>
      <c r="C116" s="7">
        <f t="shared" si="2"/>
        <v>1</v>
      </c>
      <c r="D116" s="8">
        <f t="shared" si="3"/>
        <v>3</v>
      </c>
      <c r="E116" s="9" t="s">
        <v>1140</v>
      </c>
      <c r="F116" s="10"/>
      <c r="G116" s="10" t="s">
        <v>622</v>
      </c>
      <c r="H116" s="10" t="s">
        <v>768</v>
      </c>
      <c r="I116" s="9">
        <v>1794278</v>
      </c>
      <c r="J116" s="1" t="s">
        <v>66</v>
      </c>
      <c r="K116" s="1" t="s">
        <v>67</v>
      </c>
    </row>
    <row r="117" spans="1:11" x14ac:dyDescent="0.2">
      <c r="A117" s="24" t="s">
        <v>719</v>
      </c>
      <c r="B117" t="s">
        <v>718</v>
      </c>
      <c r="C117" s="7">
        <f t="shared" si="2"/>
        <v>1</v>
      </c>
      <c r="D117" s="8">
        <f t="shared" si="3"/>
        <v>1</v>
      </c>
      <c r="E117" s="9"/>
      <c r="F117" s="10"/>
      <c r="G117" s="10" t="s">
        <v>718</v>
      </c>
      <c r="H117" s="10"/>
      <c r="I117" s="9">
        <v>229445</v>
      </c>
      <c r="J117" s="1" t="s">
        <v>324</v>
      </c>
      <c r="K117" s="1" t="s">
        <v>325</v>
      </c>
    </row>
    <row r="118" spans="1:11" x14ac:dyDescent="0.2">
      <c r="A118" s="24" t="s">
        <v>751</v>
      </c>
      <c r="B118" t="s">
        <v>718</v>
      </c>
      <c r="C118" s="7">
        <f t="shared" si="2"/>
        <v>1</v>
      </c>
      <c r="D118" s="8">
        <f t="shared" si="3"/>
        <v>1</v>
      </c>
      <c r="F118" s="12" t="s">
        <v>718</v>
      </c>
      <c r="I118" s="11">
        <v>8074</v>
      </c>
      <c r="J118" s="1" t="s">
        <v>750</v>
      </c>
    </row>
    <row r="119" spans="1:11" x14ac:dyDescent="0.2">
      <c r="A119" s="2" t="s">
        <v>856</v>
      </c>
      <c r="B119" t="s">
        <v>611</v>
      </c>
      <c r="C119" s="7">
        <f t="shared" si="2"/>
        <v>1</v>
      </c>
      <c r="D119" s="8">
        <f t="shared" si="3"/>
        <v>1</v>
      </c>
      <c r="E119" s="9"/>
      <c r="F119" s="10"/>
      <c r="G119" s="10"/>
      <c r="H119" s="10" t="s">
        <v>765</v>
      </c>
      <c r="I119" s="9">
        <v>281420</v>
      </c>
      <c r="J119" s="1" t="s">
        <v>283</v>
      </c>
      <c r="K119" s="1" t="s">
        <v>28</v>
      </c>
    </row>
    <row r="120" spans="1:11" x14ac:dyDescent="0.2">
      <c r="A120" s="2" t="s">
        <v>714</v>
      </c>
      <c r="B120" t="s">
        <v>611</v>
      </c>
      <c r="C120" s="7">
        <f t="shared" si="2"/>
        <v>1</v>
      </c>
      <c r="D120" s="8">
        <f t="shared" si="3"/>
        <v>1</v>
      </c>
      <c r="E120" s="9"/>
      <c r="F120" s="10" t="s">
        <v>611</v>
      </c>
      <c r="G120" s="10"/>
      <c r="H120" s="10"/>
      <c r="I120" s="9">
        <v>302912</v>
      </c>
      <c r="J120" s="1" t="s">
        <v>273</v>
      </c>
      <c r="K120" s="1" t="s">
        <v>28</v>
      </c>
    </row>
    <row r="121" spans="1:11" x14ac:dyDescent="0.2">
      <c r="A121" s="2" t="s">
        <v>564</v>
      </c>
      <c r="B121" t="s">
        <v>611</v>
      </c>
      <c r="C121" s="7">
        <f t="shared" si="2"/>
        <v>1</v>
      </c>
      <c r="D121" s="8">
        <f t="shared" si="3"/>
        <v>2</v>
      </c>
      <c r="E121" s="9" t="s">
        <v>1140</v>
      </c>
      <c r="F121" s="10"/>
      <c r="G121" s="10" t="s">
        <v>611</v>
      </c>
      <c r="H121" s="10"/>
      <c r="I121" s="9">
        <v>4145494</v>
      </c>
      <c r="J121" s="1" t="s">
        <v>27</v>
      </c>
      <c r="K121" s="1" t="s">
        <v>28</v>
      </c>
    </row>
    <row r="122" spans="1:11" x14ac:dyDescent="0.2">
      <c r="A122" s="24" t="s">
        <v>673</v>
      </c>
      <c r="B122" t="s">
        <v>624</v>
      </c>
      <c r="C122" s="7">
        <f t="shared" si="2"/>
        <v>1</v>
      </c>
      <c r="D122" s="8">
        <f t="shared" si="3"/>
        <v>1</v>
      </c>
      <c r="E122" s="9"/>
      <c r="F122" s="10" t="s">
        <v>624</v>
      </c>
      <c r="G122" s="10"/>
      <c r="H122" s="10"/>
      <c r="I122" s="9">
        <v>707606</v>
      </c>
      <c r="J122" s="1" t="s">
        <v>148</v>
      </c>
      <c r="K122" s="1" t="s">
        <v>149</v>
      </c>
    </row>
    <row r="123" spans="1:11" x14ac:dyDescent="0.2">
      <c r="A123" s="24" t="s">
        <v>595</v>
      </c>
      <c r="B123" t="s">
        <v>624</v>
      </c>
      <c r="C123" s="7">
        <f t="shared" si="2"/>
        <v>1</v>
      </c>
      <c r="D123" s="8">
        <f t="shared" si="3"/>
        <v>2</v>
      </c>
      <c r="E123" s="9" t="s">
        <v>1140</v>
      </c>
      <c r="F123" s="10"/>
      <c r="G123" s="10" t="s">
        <v>624</v>
      </c>
      <c r="H123" s="10"/>
      <c r="I123" s="9">
        <v>1574452</v>
      </c>
      <c r="J123" s="1" t="s">
        <v>71</v>
      </c>
      <c r="K123" s="1" t="s">
        <v>72</v>
      </c>
    </row>
    <row r="124" spans="1:11" x14ac:dyDescent="0.2">
      <c r="A124" s="24" t="s">
        <v>721</v>
      </c>
      <c r="B124" t="s">
        <v>705</v>
      </c>
      <c r="C124" s="7">
        <f t="shared" si="2"/>
        <v>1</v>
      </c>
      <c r="D124" s="8">
        <f t="shared" si="3"/>
        <v>1</v>
      </c>
      <c r="E124" s="9"/>
      <c r="F124" s="10" t="s">
        <v>705</v>
      </c>
      <c r="G124" s="10"/>
      <c r="H124" s="10"/>
      <c r="I124" s="9">
        <v>202091</v>
      </c>
      <c r="J124" s="1" t="s">
        <v>353</v>
      </c>
      <c r="K124" s="1" t="s">
        <v>247</v>
      </c>
    </row>
    <row r="125" spans="1:11" x14ac:dyDescent="0.2">
      <c r="A125" s="26" t="s">
        <v>706</v>
      </c>
      <c r="B125" t="s">
        <v>705</v>
      </c>
      <c r="C125" s="7">
        <f t="shared" si="2"/>
        <v>1</v>
      </c>
      <c r="D125" s="8">
        <f t="shared" si="3"/>
        <v>1</v>
      </c>
      <c r="E125" s="9"/>
      <c r="F125" s="10"/>
      <c r="G125" s="10" t="s">
        <v>705</v>
      </c>
      <c r="H125" s="10"/>
      <c r="I125" s="9">
        <v>366920</v>
      </c>
      <c r="J125" s="1" t="s">
        <v>246</v>
      </c>
      <c r="K125" s="1" t="s">
        <v>247</v>
      </c>
    </row>
    <row r="126" spans="1:11" x14ac:dyDescent="0.2">
      <c r="A126" s="2" t="s">
        <v>896</v>
      </c>
      <c r="B126" t="s">
        <v>705</v>
      </c>
      <c r="C126" s="7">
        <f t="shared" si="2"/>
        <v>1</v>
      </c>
      <c r="D126" s="8">
        <f t="shared" si="3"/>
        <v>1</v>
      </c>
      <c r="E126" s="9"/>
      <c r="F126" s="10"/>
      <c r="G126" s="10"/>
      <c r="H126" s="10" t="s">
        <v>1195</v>
      </c>
      <c r="I126" s="9">
        <v>142752</v>
      </c>
      <c r="J126" s="1" t="s">
        <v>440</v>
      </c>
      <c r="K126" s="1"/>
    </row>
    <row r="127" spans="1:11" x14ac:dyDescent="0.2">
      <c r="A127" s="2" t="s">
        <v>732</v>
      </c>
      <c r="B127" t="s">
        <v>731</v>
      </c>
      <c r="C127" s="7">
        <f t="shared" si="2"/>
        <v>1</v>
      </c>
      <c r="D127" s="8">
        <f t="shared" si="3"/>
        <v>2</v>
      </c>
      <c r="E127" s="9"/>
      <c r="F127" s="10" t="s">
        <v>731</v>
      </c>
      <c r="G127" s="10" t="s">
        <v>731</v>
      </c>
      <c r="H127" s="10"/>
      <c r="I127" s="9">
        <v>101783</v>
      </c>
      <c r="J127" s="1" t="s">
        <v>512</v>
      </c>
      <c r="K127" s="1"/>
    </row>
    <row r="128" spans="1:11" x14ac:dyDescent="0.2">
      <c r="A128" s="25" t="s">
        <v>943</v>
      </c>
      <c r="B128" t="s">
        <v>628</v>
      </c>
      <c r="C128" s="7">
        <f t="shared" si="2"/>
        <v>0</v>
      </c>
      <c r="D128" s="8">
        <f t="shared" si="3"/>
        <v>0</v>
      </c>
      <c r="E128" s="9"/>
      <c r="F128" s="10"/>
      <c r="G128" s="10"/>
      <c r="H128" s="10"/>
      <c r="I128" s="9">
        <v>103207</v>
      </c>
      <c r="J128" s="1" t="s">
        <v>508</v>
      </c>
      <c r="K128" s="1"/>
    </row>
    <row r="129" spans="1:11" x14ac:dyDescent="0.2">
      <c r="A129" s="2" t="s">
        <v>938</v>
      </c>
      <c r="B129" t="s">
        <v>628</v>
      </c>
      <c r="C129" s="7">
        <f t="shared" si="2"/>
        <v>0</v>
      </c>
      <c r="D129" s="8">
        <f t="shared" si="3"/>
        <v>0</v>
      </c>
      <c r="E129" s="9"/>
      <c r="F129" s="10"/>
      <c r="G129" s="10"/>
      <c r="H129" s="10"/>
      <c r="I129" s="9">
        <v>206006</v>
      </c>
      <c r="J129" s="1" t="s">
        <v>350</v>
      </c>
      <c r="K129" s="1" t="s">
        <v>263</v>
      </c>
    </row>
    <row r="130" spans="1:11" x14ac:dyDescent="0.2">
      <c r="A130" s="2" t="s">
        <v>937</v>
      </c>
      <c r="B130" t="s">
        <v>628</v>
      </c>
      <c r="C130" s="7">
        <f t="shared" ref="C130:C193" si="4">INT(NOT(AND(ISBLANK(E130),ISBLANK(F130),ISBLANK(G130),ISBLANK(H130))))</f>
        <v>0</v>
      </c>
      <c r="D130" s="8">
        <f t="shared" ref="D130:D193" si="5">4-(ISBLANK(E130)+ISBLANK(F130)+ISBLANK(G130)+ISBLANK(H130))</f>
        <v>0</v>
      </c>
      <c r="E130" s="9"/>
      <c r="F130" s="10"/>
      <c r="G130" s="10"/>
      <c r="H130" s="10"/>
      <c r="I130" s="9">
        <v>261608</v>
      </c>
      <c r="J130" s="1" t="s">
        <v>301</v>
      </c>
      <c r="K130" s="1" t="s">
        <v>221</v>
      </c>
    </row>
    <row r="131" spans="1:11" x14ac:dyDescent="0.2">
      <c r="A131" s="2" t="s">
        <v>939</v>
      </c>
      <c r="B131" t="s">
        <v>628</v>
      </c>
      <c r="C131" s="7">
        <f t="shared" si="4"/>
        <v>0</v>
      </c>
      <c r="D131" s="8">
        <f t="shared" si="5"/>
        <v>0</v>
      </c>
      <c r="E131" s="9"/>
      <c r="F131" s="10"/>
      <c r="G131" s="10"/>
      <c r="H131" s="10"/>
      <c r="I131" s="9">
        <v>159651</v>
      </c>
      <c r="J131" s="1" t="s">
        <v>407</v>
      </c>
      <c r="K131" s="1" t="s">
        <v>180</v>
      </c>
    </row>
    <row r="132" spans="1:11" x14ac:dyDescent="0.2">
      <c r="A132" s="2" t="s">
        <v>941</v>
      </c>
      <c r="B132" t="s">
        <v>628</v>
      </c>
      <c r="C132" s="7">
        <f t="shared" si="4"/>
        <v>0</v>
      </c>
      <c r="D132" s="8">
        <f t="shared" si="5"/>
        <v>0</v>
      </c>
      <c r="E132" s="9"/>
      <c r="F132" s="10"/>
      <c r="G132" s="10"/>
      <c r="H132" s="10"/>
      <c r="I132" s="9">
        <v>154766</v>
      </c>
      <c r="J132" s="1" t="s">
        <v>421</v>
      </c>
      <c r="K132" s="1" t="s">
        <v>422</v>
      </c>
    </row>
    <row r="133" spans="1:11" x14ac:dyDescent="0.2">
      <c r="A133" s="2" t="s">
        <v>940</v>
      </c>
      <c r="B133" t="s">
        <v>628</v>
      </c>
      <c r="C133" s="7">
        <f t="shared" si="4"/>
        <v>0</v>
      </c>
      <c r="D133" s="8">
        <f t="shared" si="5"/>
        <v>0</v>
      </c>
      <c r="E133" s="9"/>
      <c r="F133" s="10"/>
      <c r="G133" s="10"/>
      <c r="H133" s="10"/>
      <c r="I133" s="9">
        <v>156287</v>
      </c>
      <c r="J133" s="1" t="s">
        <v>414</v>
      </c>
      <c r="K133" s="1" t="s">
        <v>415</v>
      </c>
    </row>
    <row r="134" spans="1:11" x14ac:dyDescent="0.2">
      <c r="A134" s="2" t="s">
        <v>942</v>
      </c>
      <c r="B134" t="s">
        <v>628</v>
      </c>
      <c r="C134" s="7">
        <f t="shared" si="4"/>
        <v>0</v>
      </c>
      <c r="D134" s="8">
        <f t="shared" si="5"/>
        <v>0</v>
      </c>
      <c r="E134" s="9"/>
      <c r="F134" s="10"/>
      <c r="G134" s="10"/>
      <c r="H134" s="10"/>
      <c r="I134" s="9">
        <v>116427</v>
      </c>
      <c r="J134" s="1" t="s">
        <v>485</v>
      </c>
      <c r="K134" s="1"/>
    </row>
    <row r="135" spans="1:11" x14ac:dyDescent="0.2">
      <c r="A135" s="2" t="s">
        <v>697</v>
      </c>
      <c r="B135" t="s">
        <v>628</v>
      </c>
      <c r="C135" s="7">
        <f t="shared" si="4"/>
        <v>0</v>
      </c>
      <c r="D135" s="8">
        <f t="shared" si="5"/>
        <v>0</v>
      </c>
      <c r="E135" s="9"/>
      <c r="F135" s="10"/>
      <c r="G135" s="10"/>
      <c r="H135" s="10"/>
      <c r="I135" s="9">
        <v>542297</v>
      </c>
      <c r="J135" s="1" t="s">
        <v>179</v>
      </c>
      <c r="K135" s="1" t="s">
        <v>180</v>
      </c>
    </row>
    <row r="136" spans="1:11" x14ac:dyDescent="0.2">
      <c r="A136" s="2" t="s">
        <v>897</v>
      </c>
      <c r="B136" t="s">
        <v>628</v>
      </c>
      <c r="C136" s="7">
        <f t="shared" si="4"/>
        <v>0</v>
      </c>
      <c r="D136" s="8">
        <f t="shared" si="5"/>
        <v>0</v>
      </c>
      <c r="E136" s="9"/>
      <c r="F136" s="10"/>
      <c r="G136" s="10"/>
      <c r="H136" s="10"/>
      <c r="I136" s="9">
        <v>412339</v>
      </c>
      <c r="J136" s="1" t="s">
        <v>220</v>
      </c>
      <c r="K136" s="1" t="s">
        <v>221</v>
      </c>
    </row>
    <row r="137" spans="1:11" x14ac:dyDescent="0.2">
      <c r="A137" s="2" t="s">
        <v>936</v>
      </c>
      <c r="B137" t="s">
        <v>628</v>
      </c>
      <c r="C137" s="7">
        <f t="shared" si="4"/>
        <v>0</v>
      </c>
      <c r="D137" s="8">
        <f t="shared" si="5"/>
        <v>0</v>
      </c>
      <c r="E137" s="9"/>
      <c r="F137" s="10"/>
      <c r="G137" s="10"/>
      <c r="H137" s="10"/>
      <c r="I137" s="9">
        <v>281963</v>
      </c>
      <c r="J137" s="1" t="s">
        <v>279</v>
      </c>
      <c r="K137" s="1"/>
    </row>
    <row r="138" spans="1:11" x14ac:dyDescent="0.2">
      <c r="A138" s="2" t="s">
        <v>685</v>
      </c>
      <c r="B138" t="s">
        <v>667</v>
      </c>
      <c r="C138" s="7">
        <f t="shared" si="4"/>
        <v>0</v>
      </c>
      <c r="D138" s="8">
        <f t="shared" si="5"/>
        <v>0</v>
      </c>
      <c r="E138" s="9"/>
      <c r="F138" s="10"/>
      <c r="G138" s="10"/>
      <c r="H138" s="10"/>
      <c r="I138" s="9">
        <v>605615</v>
      </c>
      <c r="J138" s="1" t="s">
        <v>164</v>
      </c>
      <c r="K138" s="1"/>
    </row>
    <row r="139" spans="1:11" x14ac:dyDescent="0.2">
      <c r="A139" s="2" t="s">
        <v>944</v>
      </c>
      <c r="B139" t="s">
        <v>667</v>
      </c>
      <c r="C139" s="7">
        <f t="shared" si="4"/>
        <v>0</v>
      </c>
      <c r="D139" s="8">
        <f t="shared" si="5"/>
        <v>0</v>
      </c>
      <c r="E139" s="9"/>
      <c r="F139" s="10"/>
      <c r="G139" s="10"/>
      <c r="H139" s="10"/>
      <c r="I139" s="9">
        <v>232848</v>
      </c>
      <c r="J139" s="1" t="s">
        <v>317</v>
      </c>
      <c r="K139" s="1"/>
    </row>
    <row r="140" spans="1:11" x14ac:dyDescent="0.2">
      <c r="A140" s="2" t="s">
        <v>946</v>
      </c>
      <c r="B140" t="s">
        <v>667</v>
      </c>
      <c r="C140" s="7">
        <f t="shared" si="4"/>
        <v>0</v>
      </c>
      <c r="D140" s="8">
        <f t="shared" si="5"/>
        <v>0</v>
      </c>
      <c r="E140" s="9"/>
      <c r="F140" s="10"/>
      <c r="G140" s="10"/>
      <c r="H140" s="10"/>
      <c r="I140" s="9">
        <v>99902</v>
      </c>
      <c r="J140" s="1" t="s">
        <v>517</v>
      </c>
      <c r="K140" s="1" t="s">
        <v>518</v>
      </c>
    </row>
    <row r="141" spans="1:11" x14ac:dyDescent="0.2">
      <c r="A141" s="2" t="s">
        <v>945</v>
      </c>
      <c r="B141" t="s">
        <v>667</v>
      </c>
      <c r="C141" s="7">
        <f t="shared" si="4"/>
        <v>0</v>
      </c>
      <c r="D141" s="8">
        <f t="shared" si="5"/>
        <v>0</v>
      </c>
      <c r="E141" s="9"/>
      <c r="F141" s="10"/>
      <c r="G141" s="10"/>
      <c r="H141" s="10"/>
      <c r="I141" s="9">
        <v>138152</v>
      </c>
      <c r="J141" s="1" t="s">
        <v>447</v>
      </c>
      <c r="K141" s="1" t="s">
        <v>448</v>
      </c>
    </row>
    <row r="142" spans="1:11" x14ac:dyDescent="0.2">
      <c r="A142" s="2" t="s">
        <v>948</v>
      </c>
      <c r="B142" t="s">
        <v>605</v>
      </c>
      <c r="C142" s="7">
        <f t="shared" si="4"/>
        <v>0</v>
      </c>
      <c r="D142" s="8">
        <f t="shared" si="5"/>
        <v>0</v>
      </c>
      <c r="E142" s="9"/>
      <c r="F142" s="10"/>
      <c r="G142" s="10"/>
      <c r="H142" s="10"/>
      <c r="I142" s="9">
        <v>226479</v>
      </c>
      <c r="J142" s="1" t="s">
        <v>328</v>
      </c>
      <c r="K142" s="1"/>
    </row>
    <row r="143" spans="1:11" x14ac:dyDescent="0.2">
      <c r="A143" s="2" t="s">
        <v>947</v>
      </c>
      <c r="B143" t="s">
        <v>605</v>
      </c>
      <c r="C143" s="7">
        <f t="shared" si="4"/>
        <v>0</v>
      </c>
      <c r="D143" s="8">
        <f t="shared" si="5"/>
        <v>0</v>
      </c>
      <c r="E143" s="9"/>
      <c r="F143" s="10"/>
      <c r="G143" s="10"/>
      <c r="H143" s="10"/>
      <c r="I143" s="9">
        <v>252013</v>
      </c>
      <c r="J143" s="1" t="s">
        <v>303</v>
      </c>
      <c r="K143" s="1"/>
    </row>
    <row r="144" spans="1:11" x14ac:dyDescent="0.2">
      <c r="A144" s="2" t="s">
        <v>950</v>
      </c>
      <c r="B144" t="s">
        <v>605</v>
      </c>
      <c r="C144" s="7">
        <f t="shared" si="4"/>
        <v>0</v>
      </c>
      <c r="D144" s="8">
        <f t="shared" si="5"/>
        <v>0</v>
      </c>
      <c r="E144" s="9"/>
      <c r="F144" s="10"/>
      <c r="G144" s="10"/>
      <c r="H144" s="10"/>
      <c r="I144" s="9">
        <v>125773</v>
      </c>
      <c r="J144" s="1" t="s">
        <v>471</v>
      </c>
      <c r="K144" s="1"/>
    </row>
    <row r="145" spans="1:11" x14ac:dyDescent="0.2">
      <c r="A145" s="2" t="s">
        <v>949</v>
      </c>
      <c r="B145" t="s">
        <v>605</v>
      </c>
      <c r="C145" s="7">
        <f t="shared" si="4"/>
        <v>0</v>
      </c>
      <c r="D145" s="8">
        <f t="shared" si="5"/>
        <v>0</v>
      </c>
      <c r="E145" s="9"/>
      <c r="F145" s="10"/>
      <c r="G145" s="10"/>
      <c r="H145" s="10"/>
      <c r="I145" s="9">
        <v>220310</v>
      </c>
      <c r="J145" s="1" t="s">
        <v>336</v>
      </c>
      <c r="K145" s="1"/>
    </row>
    <row r="146" spans="1:11" x14ac:dyDescent="0.2">
      <c r="A146" s="2" t="s">
        <v>650</v>
      </c>
      <c r="B146" t="s">
        <v>589</v>
      </c>
      <c r="C146" s="7">
        <f t="shared" si="4"/>
        <v>0</v>
      </c>
      <c r="D146" s="8">
        <f t="shared" si="5"/>
        <v>0</v>
      </c>
      <c r="E146" s="9"/>
      <c r="F146" s="10"/>
      <c r="G146" s="10"/>
      <c r="H146" s="10"/>
      <c r="I146" s="9">
        <v>922529</v>
      </c>
      <c r="J146" s="1" t="s">
        <v>114</v>
      </c>
      <c r="K146" s="1"/>
    </row>
    <row r="147" spans="1:11" x14ac:dyDescent="0.2">
      <c r="A147" s="6" t="s">
        <v>1024</v>
      </c>
      <c r="B147" t="s">
        <v>589</v>
      </c>
      <c r="C147" s="7">
        <f t="shared" si="4"/>
        <v>0</v>
      </c>
      <c r="D147" s="8">
        <f t="shared" si="5"/>
        <v>0</v>
      </c>
      <c r="E147" s="9"/>
      <c r="F147" s="10"/>
      <c r="G147" s="10"/>
      <c r="H147" s="10"/>
      <c r="I147" s="9">
        <v>208334</v>
      </c>
      <c r="J147" s="1" t="s">
        <v>343</v>
      </c>
      <c r="K147" s="1"/>
    </row>
    <row r="148" spans="1:11" x14ac:dyDescent="0.2">
      <c r="A148" s="6" t="s">
        <v>1035</v>
      </c>
      <c r="B148" t="s">
        <v>589</v>
      </c>
      <c r="C148" s="7">
        <f t="shared" si="4"/>
        <v>0</v>
      </c>
      <c r="D148" s="8">
        <f t="shared" si="5"/>
        <v>0</v>
      </c>
      <c r="E148" s="9"/>
      <c r="F148" s="10"/>
      <c r="G148" s="10"/>
      <c r="H148" s="10"/>
      <c r="I148" s="9">
        <v>181724</v>
      </c>
      <c r="J148" s="1" t="s">
        <v>374</v>
      </c>
      <c r="K148" s="1"/>
    </row>
    <row r="149" spans="1:11" x14ac:dyDescent="0.2">
      <c r="A149" s="6" t="s">
        <v>1115</v>
      </c>
      <c r="B149" t="s">
        <v>589</v>
      </c>
      <c r="C149" s="7">
        <f t="shared" si="4"/>
        <v>0</v>
      </c>
      <c r="D149" s="8">
        <f t="shared" si="5"/>
        <v>0</v>
      </c>
      <c r="E149" s="9"/>
      <c r="F149" s="10"/>
      <c r="G149" s="10"/>
      <c r="H149" s="10"/>
      <c r="I149" s="9">
        <v>154913</v>
      </c>
      <c r="J149" s="1" t="s">
        <v>420</v>
      </c>
      <c r="K149" s="1" t="s">
        <v>87</v>
      </c>
    </row>
    <row r="150" spans="1:11" x14ac:dyDescent="0.2">
      <c r="A150" s="2" t="s">
        <v>695</v>
      </c>
      <c r="B150" t="s">
        <v>589</v>
      </c>
      <c r="C150" s="7">
        <f t="shared" si="4"/>
        <v>0</v>
      </c>
      <c r="D150" s="8">
        <f t="shared" si="5"/>
        <v>0</v>
      </c>
      <c r="E150" s="9"/>
      <c r="F150" s="10"/>
      <c r="G150" s="10"/>
      <c r="H150" s="10"/>
      <c r="I150" s="9">
        <v>556972</v>
      </c>
      <c r="J150" s="1" t="s">
        <v>177</v>
      </c>
      <c r="K150" s="1" t="s">
        <v>24</v>
      </c>
    </row>
    <row r="151" spans="1:11" x14ac:dyDescent="0.2">
      <c r="A151" s="6" t="s">
        <v>1067</v>
      </c>
      <c r="B151" t="s">
        <v>589</v>
      </c>
      <c r="C151" s="7">
        <f t="shared" si="4"/>
        <v>0</v>
      </c>
      <c r="D151" s="8">
        <f t="shared" si="5"/>
        <v>0</v>
      </c>
      <c r="E151" s="9"/>
      <c r="F151" s="10"/>
      <c r="G151" s="10"/>
      <c r="H151" s="10"/>
      <c r="I151" s="9">
        <v>132727</v>
      </c>
      <c r="J151" s="1" t="s">
        <v>454</v>
      </c>
      <c r="K151" s="1" t="s">
        <v>24</v>
      </c>
    </row>
    <row r="152" spans="1:11" x14ac:dyDescent="0.2">
      <c r="A152" s="2" t="s">
        <v>663</v>
      </c>
      <c r="B152" t="s">
        <v>589</v>
      </c>
      <c r="C152" s="7">
        <f t="shared" si="4"/>
        <v>0</v>
      </c>
      <c r="D152" s="8">
        <f t="shared" si="5"/>
        <v>0</v>
      </c>
      <c r="E152" s="9"/>
      <c r="F152" s="10"/>
      <c r="G152" s="10"/>
      <c r="H152" s="10"/>
      <c r="I152" s="9">
        <v>835427</v>
      </c>
      <c r="J152" s="1" t="s">
        <v>134</v>
      </c>
      <c r="K152" s="1" t="s">
        <v>3</v>
      </c>
    </row>
    <row r="153" spans="1:11" x14ac:dyDescent="0.2">
      <c r="A153" s="6" t="s">
        <v>1036</v>
      </c>
      <c r="B153" t="s">
        <v>589</v>
      </c>
      <c r="C153" s="7">
        <f t="shared" si="4"/>
        <v>0</v>
      </c>
      <c r="D153" s="8">
        <f t="shared" si="5"/>
        <v>0</v>
      </c>
      <c r="E153" s="9"/>
      <c r="F153" s="10"/>
      <c r="G153" s="10"/>
      <c r="H153" s="10"/>
      <c r="I153" s="9">
        <v>181121</v>
      </c>
      <c r="J153" s="1" t="s">
        <v>375</v>
      </c>
      <c r="K153" s="1" t="s">
        <v>376</v>
      </c>
    </row>
    <row r="154" spans="1:11" x14ac:dyDescent="0.2">
      <c r="A154" s="2" t="s">
        <v>898</v>
      </c>
      <c r="B154" t="s">
        <v>589</v>
      </c>
      <c r="C154" s="7">
        <f t="shared" si="4"/>
        <v>0</v>
      </c>
      <c r="D154" s="8">
        <f t="shared" si="5"/>
        <v>0</v>
      </c>
      <c r="E154" s="9"/>
      <c r="F154" s="10"/>
      <c r="G154" s="10"/>
      <c r="H154" s="10"/>
      <c r="I154" s="9">
        <v>436251</v>
      </c>
      <c r="J154" s="1" t="s">
        <v>203</v>
      </c>
      <c r="K154" s="1"/>
    </row>
    <row r="155" spans="1:11" x14ac:dyDescent="0.2">
      <c r="A155" s="2" t="s">
        <v>951</v>
      </c>
      <c r="B155" t="s">
        <v>589</v>
      </c>
      <c r="C155" s="7">
        <f t="shared" si="4"/>
        <v>0</v>
      </c>
      <c r="D155" s="8">
        <f t="shared" si="5"/>
        <v>0</v>
      </c>
      <c r="E155" s="9"/>
      <c r="F155" s="10"/>
      <c r="G155" s="10"/>
      <c r="H155" s="10"/>
      <c r="I155" s="9">
        <v>281843</v>
      </c>
      <c r="J155" s="1" t="s">
        <v>280</v>
      </c>
      <c r="K155" s="1"/>
    </row>
    <row r="156" spans="1:11" x14ac:dyDescent="0.2">
      <c r="A156" s="2" t="s">
        <v>1007</v>
      </c>
      <c r="B156" t="s">
        <v>589</v>
      </c>
      <c r="C156" s="7">
        <f t="shared" si="4"/>
        <v>0</v>
      </c>
      <c r="D156" s="8">
        <f t="shared" si="5"/>
        <v>0</v>
      </c>
      <c r="E156" s="9"/>
      <c r="F156" s="10"/>
      <c r="G156" s="10"/>
      <c r="H156" s="10"/>
      <c r="I156" s="9">
        <v>262406</v>
      </c>
      <c r="J156" s="1" t="s">
        <v>300</v>
      </c>
      <c r="K156" s="1" t="s">
        <v>24</v>
      </c>
    </row>
    <row r="157" spans="1:11" x14ac:dyDescent="0.2">
      <c r="A157" s="2" t="s">
        <v>899</v>
      </c>
      <c r="B157" t="s">
        <v>589</v>
      </c>
      <c r="C157" s="7">
        <f t="shared" si="4"/>
        <v>0</v>
      </c>
      <c r="D157" s="8">
        <f t="shared" si="5"/>
        <v>0</v>
      </c>
      <c r="E157" s="9"/>
      <c r="F157" s="10"/>
      <c r="G157" s="10"/>
      <c r="H157" s="10"/>
      <c r="I157" s="9">
        <v>485375</v>
      </c>
      <c r="J157" s="1" t="s">
        <v>186</v>
      </c>
      <c r="K157" s="1"/>
    </row>
    <row r="158" spans="1:11" x14ac:dyDescent="0.2">
      <c r="A158" s="2" t="s">
        <v>665</v>
      </c>
      <c r="B158" t="s">
        <v>589</v>
      </c>
      <c r="C158" s="7">
        <f t="shared" si="4"/>
        <v>0</v>
      </c>
      <c r="D158" s="8">
        <f t="shared" si="5"/>
        <v>0</v>
      </c>
      <c r="E158" s="9"/>
      <c r="F158" s="10"/>
      <c r="G158" s="10"/>
      <c r="H158" s="10"/>
      <c r="I158" s="9">
        <v>816108</v>
      </c>
      <c r="J158" s="1" t="s">
        <v>137</v>
      </c>
      <c r="K158" s="1" t="s">
        <v>24</v>
      </c>
    </row>
    <row r="159" spans="1:11" x14ac:dyDescent="0.2">
      <c r="A159" s="2" t="s">
        <v>901</v>
      </c>
      <c r="B159" t="s">
        <v>589</v>
      </c>
      <c r="C159" s="7">
        <f t="shared" si="4"/>
        <v>0</v>
      </c>
      <c r="D159" s="8">
        <f t="shared" si="5"/>
        <v>0</v>
      </c>
      <c r="E159" s="9"/>
      <c r="F159" s="10"/>
      <c r="G159" s="10"/>
      <c r="H159" s="10"/>
      <c r="I159" s="9">
        <v>455101</v>
      </c>
      <c r="J159" s="1" t="s">
        <v>197</v>
      </c>
      <c r="K159" s="1" t="s">
        <v>24</v>
      </c>
    </row>
    <row r="160" spans="1:11" x14ac:dyDescent="0.2">
      <c r="A160" s="2" t="s">
        <v>900</v>
      </c>
      <c r="B160" t="s">
        <v>589</v>
      </c>
      <c r="C160" s="7">
        <f t="shared" si="4"/>
        <v>0</v>
      </c>
      <c r="D160" s="8">
        <f t="shared" si="5"/>
        <v>0</v>
      </c>
      <c r="E160" s="9"/>
      <c r="F160" s="10"/>
      <c r="G160" s="10"/>
      <c r="H160" s="10"/>
      <c r="I160" s="9">
        <v>483546</v>
      </c>
      <c r="J160" s="1" t="s">
        <v>187</v>
      </c>
      <c r="K160" s="1"/>
    </row>
    <row r="161" spans="1:11" x14ac:dyDescent="0.2">
      <c r="A161" s="6" t="s">
        <v>1029</v>
      </c>
      <c r="B161" t="s">
        <v>589</v>
      </c>
      <c r="C161" s="7">
        <f t="shared" si="4"/>
        <v>0</v>
      </c>
      <c r="D161" s="8">
        <f t="shared" si="5"/>
        <v>0</v>
      </c>
      <c r="E161" s="9"/>
      <c r="F161" s="10"/>
      <c r="G161" s="10"/>
      <c r="H161" s="10"/>
      <c r="I161" s="9">
        <v>186014</v>
      </c>
      <c r="J161" s="1" t="s">
        <v>366</v>
      </c>
      <c r="K161" s="1" t="s">
        <v>48</v>
      </c>
    </row>
    <row r="162" spans="1:11" x14ac:dyDescent="0.2">
      <c r="A162" s="2" t="s">
        <v>989</v>
      </c>
      <c r="B162" t="s">
        <v>613</v>
      </c>
      <c r="C162" s="7">
        <f t="shared" si="4"/>
        <v>0</v>
      </c>
      <c r="D162" s="8">
        <f t="shared" si="5"/>
        <v>0</v>
      </c>
      <c r="E162" s="9"/>
      <c r="F162" s="10"/>
      <c r="G162" s="10"/>
      <c r="H162" s="10"/>
      <c r="I162" s="9">
        <v>330262</v>
      </c>
      <c r="J162" s="1" t="s">
        <v>259</v>
      </c>
      <c r="K162" s="1" t="s">
        <v>34</v>
      </c>
    </row>
    <row r="163" spans="1:11" x14ac:dyDescent="0.2">
      <c r="A163" s="2" t="s">
        <v>869</v>
      </c>
      <c r="B163" t="s">
        <v>613</v>
      </c>
      <c r="C163" s="7">
        <f t="shared" si="4"/>
        <v>0</v>
      </c>
      <c r="D163" s="8">
        <f t="shared" si="5"/>
        <v>0</v>
      </c>
      <c r="E163" s="9"/>
      <c r="F163" s="10"/>
      <c r="G163" s="10"/>
      <c r="H163" s="10"/>
      <c r="I163" s="9">
        <v>374574</v>
      </c>
      <c r="J163" s="1" t="s">
        <v>239</v>
      </c>
      <c r="K163" s="1"/>
    </row>
    <row r="164" spans="1:11" x14ac:dyDescent="0.2">
      <c r="A164" s="6" t="s">
        <v>1047</v>
      </c>
      <c r="B164" t="s">
        <v>613</v>
      </c>
      <c r="C164" s="7">
        <f t="shared" si="4"/>
        <v>0</v>
      </c>
      <c r="D164" s="8">
        <f t="shared" si="5"/>
        <v>0</v>
      </c>
      <c r="E164" s="9"/>
      <c r="F164" s="10"/>
      <c r="G164" s="10"/>
      <c r="H164" s="10"/>
      <c r="I164" s="9">
        <v>161260</v>
      </c>
      <c r="J164" s="1" t="s">
        <v>402</v>
      </c>
      <c r="K164" s="1"/>
    </row>
    <row r="165" spans="1:11" x14ac:dyDescent="0.2">
      <c r="A165" s="2" t="s">
        <v>985</v>
      </c>
      <c r="B165" t="s">
        <v>613</v>
      </c>
      <c r="C165" s="7">
        <f t="shared" si="4"/>
        <v>0</v>
      </c>
      <c r="D165" s="8">
        <f t="shared" si="5"/>
        <v>0</v>
      </c>
      <c r="E165" s="9"/>
      <c r="F165" s="10"/>
      <c r="G165" s="10"/>
      <c r="H165" s="10"/>
      <c r="I165" s="9">
        <v>369745</v>
      </c>
      <c r="J165" s="1" t="s">
        <v>243</v>
      </c>
      <c r="K165" s="1" t="s">
        <v>34</v>
      </c>
    </row>
    <row r="166" spans="1:11" x14ac:dyDescent="0.2">
      <c r="A166" s="6" t="s">
        <v>1043</v>
      </c>
      <c r="B166" t="s">
        <v>613</v>
      </c>
      <c r="C166" s="7">
        <f t="shared" si="4"/>
        <v>0</v>
      </c>
      <c r="D166" s="8">
        <f t="shared" si="5"/>
        <v>0</v>
      </c>
      <c r="E166" s="9"/>
      <c r="F166" s="10"/>
      <c r="G166" s="10"/>
      <c r="H166" s="10"/>
      <c r="I166" s="9">
        <v>169866</v>
      </c>
      <c r="J166" s="1" t="s">
        <v>393</v>
      </c>
      <c r="K166" s="1" t="s">
        <v>394</v>
      </c>
    </row>
    <row r="167" spans="1:11" x14ac:dyDescent="0.2">
      <c r="A167" s="2" t="s">
        <v>643</v>
      </c>
      <c r="B167" t="s">
        <v>632</v>
      </c>
      <c r="C167" s="7">
        <f t="shared" si="4"/>
        <v>0</v>
      </c>
      <c r="D167" s="8">
        <f t="shared" si="5"/>
        <v>0</v>
      </c>
      <c r="E167" s="9"/>
      <c r="F167" s="10"/>
      <c r="G167" s="10"/>
      <c r="H167" s="10"/>
      <c r="I167" s="9">
        <v>972679</v>
      </c>
      <c r="J167" s="1" t="s">
        <v>105</v>
      </c>
      <c r="K167" s="1" t="s">
        <v>1</v>
      </c>
    </row>
    <row r="168" spans="1:11" x14ac:dyDescent="0.2">
      <c r="A168" s="2" t="s">
        <v>997</v>
      </c>
      <c r="B168" t="s">
        <v>632</v>
      </c>
      <c r="C168" s="7">
        <f t="shared" si="4"/>
        <v>0</v>
      </c>
      <c r="D168" s="8">
        <f t="shared" si="5"/>
        <v>0</v>
      </c>
      <c r="E168" s="9"/>
      <c r="F168" s="10"/>
      <c r="G168" s="10"/>
      <c r="H168" s="10"/>
      <c r="I168" s="9">
        <v>282602</v>
      </c>
      <c r="J168" s="1" t="s">
        <v>278</v>
      </c>
      <c r="K168" s="1" t="s">
        <v>91</v>
      </c>
    </row>
    <row r="169" spans="1:11" x14ac:dyDescent="0.2">
      <c r="A169" s="2" t="s">
        <v>972</v>
      </c>
      <c r="B169" t="s">
        <v>632</v>
      </c>
      <c r="C169" s="7">
        <f t="shared" si="4"/>
        <v>0</v>
      </c>
      <c r="D169" s="8">
        <f t="shared" si="5"/>
        <v>0</v>
      </c>
      <c r="E169" s="9"/>
      <c r="F169" s="10"/>
      <c r="G169" s="10"/>
      <c r="H169" s="10"/>
      <c r="I169" s="9">
        <v>462220</v>
      </c>
      <c r="J169" s="1" t="s">
        <v>196</v>
      </c>
      <c r="K169" s="1" t="s">
        <v>91</v>
      </c>
    </row>
    <row r="170" spans="1:11" x14ac:dyDescent="0.2">
      <c r="A170" s="2" t="s">
        <v>659</v>
      </c>
      <c r="B170" t="s">
        <v>608</v>
      </c>
      <c r="C170" s="7">
        <f t="shared" si="4"/>
        <v>0</v>
      </c>
      <c r="D170" s="8">
        <f t="shared" si="5"/>
        <v>0</v>
      </c>
      <c r="E170" s="9"/>
      <c r="F170" s="10"/>
      <c r="G170" s="10"/>
      <c r="H170" s="10"/>
      <c r="I170" s="9">
        <v>860959</v>
      </c>
      <c r="J170" s="1" t="s">
        <v>129</v>
      </c>
      <c r="K170" s="1" t="s">
        <v>130</v>
      </c>
    </row>
    <row r="171" spans="1:11" x14ac:dyDescent="0.2">
      <c r="A171" s="2" t="s">
        <v>992</v>
      </c>
      <c r="B171" t="s">
        <v>608</v>
      </c>
      <c r="C171" s="7">
        <f t="shared" si="4"/>
        <v>0</v>
      </c>
      <c r="D171" s="8">
        <f t="shared" si="5"/>
        <v>0</v>
      </c>
      <c r="E171" s="9"/>
      <c r="F171" s="10"/>
      <c r="G171" s="10"/>
      <c r="H171" s="10"/>
      <c r="I171" s="9">
        <v>310149</v>
      </c>
      <c r="J171" s="1" t="s">
        <v>270</v>
      </c>
      <c r="K171" s="1"/>
    </row>
    <row r="172" spans="1:11" x14ac:dyDescent="0.2">
      <c r="A172" s="2" t="s">
        <v>671</v>
      </c>
      <c r="B172" t="s">
        <v>608</v>
      </c>
      <c r="C172" s="7">
        <f t="shared" si="4"/>
        <v>0</v>
      </c>
      <c r="D172" s="8">
        <f t="shared" si="5"/>
        <v>0</v>
      </c>
      <c r="E172" s="9"/>
      <c r="F172" s="10"/>
      <c r="G172" s="10"/>
      <c r="H172" s="10"/>
      <c r="I172" s="9">
        <v>739516</v>
      </c>
      <c r="J172" s="1" t="s">
        <v>146</v>
      </c>
      <c r="K172" s="1" t="s">
        <v>36</v>
      </c>
    </row>
    <row r="173" spans="1:11" x14ac:dyDescent="0.2">
      <c r="A173" s="2" t="s">
        <v>987</v>
      </c>
      <c r="B173" t="s">
        <v>608</v>
      </c>
      <c r="C173" s="7">
        <f t="shared" si="4"/>
        <v>0</v>
      </c>
      <c r="D173" s="8">
        <f t="shared" si="5"/>
        <v>0</v>
      </c>
      <c r="E173" s="9"/>
      <c r="F173" s="10"/>
      <c r="G173" s="10"/>
      <c r="H173" s="10"/>
      <c r="I173" s="9">
        <v>359780</v>
      </c>
      <c r="J173" s="1" t="s">
        <v>250</v>
      </c>
      <c r="K173" s="1" t="s">
        <v>251</v>
      </c>
    </row>
    <row r="174" spans="1:11" x14ac:dyDescent="0.2">
      <c r="A174" s="6" t="s">
        <v>1041</v>
      </c>
      <c r="B174" t="s">
        <v>608</v>
      </c>
      <c r="C174" s="7">
        <f t="shared" si="4"/>
        <v>0</v>
      </c>
      <c r="D174" s="8">
        <f t="shared" si="5"/>
        <v>0</v>
      </c>
      <c r="E174" s="9"/>
      <c r="F174" s="10"/>
      <c r="G174" s="10"/>
      <c r="H174" s="10"/>
      <c r="I174" s="9">
        <v>170174</v>
      </c>
      <c r="J174" s="1" t="s">
        <v>390</v>
      </c>
      <c r="K174" s="1"/>
    </row>
    <row r="175" spans="1:11" x14ac:dyDescent="0.2">
      <c r="A175" s="2" t="s">
        <v>660</v>
      </c>
      <c r="B175" t="s">
        <v>608</v>
      </c>
      <c r="C175" s="7">
        <f t="shared" si="4"/>
        <v>0</v>
      </c>
      <c r="D175" s="8">
        <f t="shared" si="5"/>
        <v>0</v>
      </c>
      <c r="E175" s="9"/>
      <c r="F175" s="10"/>
      <c r="G175" s="10"/>
      <c r="H175" s="10"/>
      <c r="I175" s="9">
        <v>852878</v>
      </c>
      <c r="J175" s="1" t="s">
        <v>131</v>
      </c>
      <c r="K175" s="1" t="s">
        <v>36</v>
      </c>
    </row>
    <row r="176" spans="1:11" x14ac:dyDescent="0.2">
      <c r="A176" s="2" t="s">
        <v>903</v>
      </c>
      <c r="B176" t="s">
        <v>608</v>
      </c>
      <c r="C176" s="7">
        <f t="shared" si="4"/>
        <v>0</v>
      </c>
      <c r="D176" s="8">
        <f t="shared" si="5"/>
        <v>0</v>
      </c>
      <c r="E176" s="9"/>
      <c r="F176" s="10"/>
      <c r="G176" s="10"/>
      <c r="H176" s="10"/>
      <c r="I176" s="9">
        <v>416233</v>
      </c>
      <c r="J176" s="1" t="s">
        <v>217</v>
      </c>
      <c r="K176" s="1" t="s">
        <v>130</v>
      </c>
    </row>
    <row r="177" spans="1:11" x14ac:dyDescent="0.2">
      <c r="A177" s="2" t="s">
        <v>647</v>
      </c>
      <c r="B177" t="s">
        <v>608</v>
      </c>
      <c r="C177" s="7">
        <f t="shared" si="4"/>
        <v>0</v>
      </c>
      <c r="D177" s="8">
        <f t="shared" si="5"/>
        <v>0</v>
      </c>
      <c r="E177" s="9"/>
      <c r="F177" s="10"/>
      <c r="G177" s="10"/>
      <c r="H177" s="10"/>
      <c r="I177" s="9">
        <v>934956</v>
      </c>
      <c r="J177" s="1" t="s">
        <v>110</v>
      </c>
      <c r="K177" s="1" t="s">
        <v>111</v>
      </c>
    </row>
    <row r="178" spans="1:11" x14ac:dyDescent="0.2">
      <c r="A178" s="2" t="s">
        <v>902</v>
      </c>
      <c r="B178" t="s">
        <v>608</v>
      </c>
      <c r="C178" s="7">
        <f t="shared" si="4"/>
        <v>0</v>
      </c>
      <c r="D178" s="8">
        <f t="shared" si="5"/>
        <v>0</v>
      </c>
      <c r="E178" s="9"/>
      <c r="F178" s="10"/>
      <c r="G178" s="10"/>
      <c r="H178" s="10"/>
      <c r="I178" s="9">
        <v>428905</v>
      </c>
      <c r="J178" s="1" t="s">
        <v>209</v>
      </c>
      <c r="K178" s="1"/>
    </row>
    <row r="179" spans="1:11" x14ac:dyDescent="0.2">
      <c r="A179" s="2" t="s">
        <v>679</v>
      </c>
      <c r="B179" t="s">
        <v>608</v>
      </c>
      <c r="C179" s="7">
        <f t="shared" si="4"/>
        <v>0</v>
      </c>
      <c r="D179" s="8">
        <f t="shared" si="5"/>
        <v>0</v>
      </c>
      <c r="E179" s="9"/>
      <c r="F179" s="10"/>
      <c r="G179" s="10"/>
      <c r="H179" s="10"/>
      <c r="I179" s="9">
        <v>658447</v>
      </c>
      <c r="J179" s="1" t="s">
        <v>155</v>
      </c>
      <c r="K179" s="1"/>
    </row>
    <row r="180" spans="1:11" x14ac:dyDescent="0.2">
      <c r="A180" s="2" t="s">
        <v>1016</v>
      </c>
      <c r="B180" t="s">
        <v>608</v>
      </c>
      <c r="C180" s="7">
        <f t="shared" si="4"/>
        <v>0</v>
      </c>
      <c r="D180" s="8">
        <f t="shared" si="5"/>
        <v>0</v>
      </c>
      <c r="E180" s="9"/>
      <c r="F180" s="10"/>
      <c r="G180" s="10"/>
      <c r="H180" s="10"/>
      <c r="I180" s="9">
        <v>226221</v>
      </c>
      <c r="J180" s="1" t="s">
        <v>329</v>
      </c>
      <c r="K180" s="1"/>
    </row>
    <row r="181" spans="1:11" x14ac:dyDescent="0.2">
      <c r="A181" s="2" t="s">
        <v>698</v>
      </c>
      <c r="B181" t="s">
        <v>608</v>
      </c>
      <c r="C181" s="7">
        <f t="shared" si="4"/>
        <v>0</v>
      </c>
      <c r="D181" s="8">
        <f t="shared" si="5"/>
        <v>0</v>
      </c>
      <c r="E181" s="9"/>
      <c r="F181" s="10"/>
      <c r="G181" s="10"/>
      <c r="H181" s="10"/>
      <c r="I181" s="9">
        <v>538928</v>
      </c>
      <c r="J181" s="1" t="s">
        <v>181</v>
      </c>
      <c r="K181" s="1"/>
    </row>
    <row r="182" spans="1:11" x14ac:dyDescent="0.2">
      <c r="A182" s="2" t="s">
        <v>696</v>
      </c>
      <c r="B182" t="s">
        <v>608</v>
      </c>
      <c r="C182" s="7">
        <f t="shared" si="4"/>
        <v>0</v>
      </c>
      <c r="D182" s="8">
        <f t="shared" si="5"/>
        <v>0</v>
      </c>
      <c r="E182" s="9"/>
      <c r="F182" s="10"/>
      <c r="G182" s="10"/>
      <c r="H182" s="10"/>
      <c r="I182" s="9">
        <v>556336</v>
      </c>
      <c r="J182" s="1" t="s">
        <v>178</v>
      </c>
      <c r="K182" s="1" t="s">
        <v>11</v>
      </c>
    </row>
    <row r="183" spans="1:11" x14ac:dyDescent="0.2">
      <c r="A183" s="6" t="s">
        <v>1023</v>
      </c>
      <c r="B183" t="s">
        <v>608</v>
      </c>
      <c r="C183" s="7">
        <f t="shared" si="4"/>
        <v>0</v>
      </c>
      <c r="D183" s="8">
        <f t="shared" si="5"/>
        <v>0</v>
      </c>
      <c r="E183" s="9"/>
      <c r="F183" s="10"/>
      <c r="G183" s="10"/>
      <c r="H183" s="10"/>
      <c r="I183" s="9">
        <v>212122</v>
      </c>
      <c r="J183" s="1" t="s">
        <v>341</v>
      </c>
      <c r="K183" s="1" t="s">
        <v>111</v>
      </c>
    </row>
    <row r="184" spans="1:11" x14ac:dyDescent="0.2">
      <c r="A184" s="6" t="s">
        <v>1111</v>
      </c>
      <c r="B184" t="s">
        <v>608</v>
      </c>
      <c r="C184" s="7">
        <f t="shared" si="4"/>
        <v>0</v>
      </c>
      <c r="D184" s="8">
        <f t="shared" si="5"/>
        <v>0</v>
      </c>
      <c r="E184" s="9"/>
      <c r="F184" s="10"/>
      <c r="G184" s="10"/>
      <c r="H184" s="10"/>
      <c r="I184" s="9">
        <v>172139</v>
      </c>
      <c r="J184" s="1" t="s">
        <v>383</v>
      </c>
      <c r="K184" s="1" t="s">
        <v>11</v>
      </c>
    </row>
    <row r="185" spans="1:11" x14ac:dyDescent="0.2">
      <c r="A185" s="6" t="s">
        <v>1084</v>
      </c>
      <c r="B185" t="s">
        <v>608</v>
      </c>
      <c r="C185" s="7">
        <f t="shared" si="4"/>
        <v>0</v>
      </c>
      <c r="D185" s="8">
        <f t="shared" si="5"/>
        <v>0</v>
      </c>
      <c r="E185" s="9"/>
      <c r="F185" s="10"/>
      <c r="G185" s="10"/>
      <c r="H185" s="10"/>
      <c r="I185" s="9">
        <v>109778</v>
      </c>
      <c r="J185" s="1" t="s">
        <v>497</v>
      </c>
      <c r="K185" s="1"/>
    </row>
    <row r="186" spans="1:11" x14ac:dyDescent="0.2">
      <c r="A186" s="6" t="s">
        <v>1116</v>
      </c>
      <c r="B186" t="s">
        <v>608</v>
      </c>
      <c r="C186" s="7">
        <f t="shared" si="4"/>
        <v>0</v>
      </c>
      <c r="D186" s="8">
        <f t="shared" si="5"/>
        <v>0</v>
      </c>
      <c r="E186" s="9"/>
      <c r="F186" s="10"/>
      <c r="G186" s="10"/>
      <c r="H186" s="10"/>
      <c r="I186" s="9">
        <v>154693</v>
      </c>
      <c r="J186" s="1" t="s">
        <v>423</v>
      </c>
      <c r="K186" s="1" t="s">
        <v>36</v>
      </c>
    </row>
    <row r="187" spans="1:11" x14ac:dyDescent="0.2">
      <c r="A187" s="6" t="s">
        <v>1060</v>
      </c>
      <c r="B187" t="s">
        <v>603</v>
      </c>
      <c r="C187" s="7">
        <f t="shared" si="4"/>
        <v>0</v>
      </c>
      <c r="D187" s="8">
        <f t="shared" si="5"/>
        <v>0</v>
      </c>
      <c r="E187" s="9"/>
      <c r="F187" s="10"/>
      <c r="G187" s="10"/>
      <c r="H187" s="10"/>
      <c r="I187" s="9">
        <v>145451</v>
      </c>
      <c r="J187" s="1" t="s">
        <v>437</v>
      </c>
      <c r="K187" s="1"/>
    </row>
    <row r="188" spans="1:11" x14ac:dyDescent="0.2">
      <c r="A188" s="2" t="s">
        <v>1017</v>
      </c>
      <c r="B188" t="s">
        <v>603</v>
      </c>
      <c r="C188" s="7">
        <f t="shared" si="4"/>
        <v>0</v>
      </c>
      <c r="D188" s="8">
        <f t="shared" si="5"/>
        <v>0</v>
      </c>
      <c r="E188" s="9"/>
      <c r="F188" s="10"/>
      <c r="G188" s="10"/>
      <c r="H188" s="10"/>
      <c r="I188" s="9">
        <v>223689</v>
      </c>
      <c r="J188" s="1" t="s">
        <v>330</v>
      </c>
      <c r="K188" s="1" t="s">
        <v>15</v>
      </c>
    </row>
    <row r="189" spans="1:11" x14ac:dyDescent="0.2">
      <c r="A189" s="2" t="s">
        <v>680</v>
      </c>
      <c r="B189" t="s">
        <v>603</v>
      </c>
      <c r="C189" s="7">
        <f t="shared" si="4"/>
        <v>0</v>
      </c>
      <c r="D189" s="8">
        <f t="shared" si="5"/>
        <v>0</v>
      </c>
      <c r="E189" s="9"/>
      <c r="F189" s="10"/>
      <c r="G189" s="10"/>
      <c r="H189" s="10"/>
      <c r="I189" s="9">
        <v>636760</v>
      </c>
      <c r="J189" s="1" t="s">
        <v>158</v>
      </c>
      <c r="K189" s="1"/>
    </row>
    <row r="190" spans="1:11" x14ac:dyDescent="0.2">
      <c r="A190" s="6" t="s">
        <v>1125</v>
      </c>
      <c r="B190" t="s">
        <v>603</v>
      </c>
      <c r="C190" s="7">
        <f t="shared" si="4"/>
        <v>0</v>
      </c>
      <c r="D190" s="8">
        <f t="shared" si="5"/>
        <v>0</v>
      </c>
      <c r="E190" s="9"/>
      <c r="F190" s="10"/>
      <c r="G190" s="10"/>
      <c r="H190" s="10"/>
      <c r="I190" s="9">
        <v>117135</v>
      </c>
      <c r="J190" s="1" t="s">
        <v>484</v>
      </c>
      <c r="K190" s="1"/>
    </row>
    <row r="191" spans="1:11" x14ac:dyDescent="0.2">
      <c r="A191" s="2" t="s">
        <v>990</v>
      </c>
      <c r="B191" t="s">
        <v>603</v>
      </c>
      <c r="C191" s="7">
        <f t="shared" si="4"/>
        <v>0</v>
      </c>
      <c r="D191" s="8">
        <f t="shared" si="5"/>
        <v>0</v>
      </c>
      <c r="E191" s="9"/>
      <c r="F191" s="10"/>
      <c r="G191" s="10"/>
      <c r="H191" s="10"/>
      <c r="I191" s="9">
        <v>324343</v>
      </c>
      <c r="J191" s="1" t="s">
        <v>262</v>
      </c>
      <c r="K191" s="1" t="s">
        <v>263</v>
      </c>
    </row>
    <row r="192" spans="1:11" x14ac:dyDescent="0.2">
      <c r="A192" s="6" t="s">
        <v>1059</v>
      </c>
      <c r="B192" t="s">
        <v>603</v>
      </c>
      <c r="C192" s="7">
        <f t="shared" si="4"/>
        <v>0</v>
      </c>
      <c r="D192" s="8">
        <f t="shared" si="5"/>
        <v>0</v>
      </c>
      <c r="E192" s="9"/>
      <c r="F192" s="10"/>
      <c r="G192" s="10"/>
      <c r="H192" s="10"/>
      <c r="I192" s="9">
        <v>146386</v>
      </c>
      <c r="J192" s="1" t="s">
        <v>433</v>
      </c>
      <c r="K192" s="1" t="s">
        <v>169</v>
      </c>
    </row>
    <row r="193" spans="1:11" x14ac:dyDescent="0.2">
      <c r="A193" s="2" t="s">
        <v>1019</v>
      </c>
      <c r="B193" t="s">
        <v>603</v>
      </c>
      <c r="C193" s="7">
        <f t="shared" si="4"/>
        <v>0</v>
      </c>
      <c r="D193" s="8">
        <f t="shared" si="5"/>
        <v>0</v>
      </c>
      <c r="E193" s="9"/>
      <c r="F193" s="10"/>
      <c r="G193" s="10"/>
      <c r="H193" s="10"/>
      <c r="I193" s="9">
        <v>221745</v>
      </c>
      <c r="J193" s="1" t="s">
        <v>333</v>
      </c>
      <c r="K193" s="1" t="s">
        <v>15</v>
      </c>
    </row>
    <row r="194" spans="1:11" x14ac:dyDescent="0.2">
      <c r="A194" s="6" t="s">
        <v>1098</v>
      </c>
      <c r="B194" t="s">
        <v>603</v>
      </c>
      <c r="C194" s="7">
        <f t="shared" ref="C194:C257" si="6">INT(NOT(AND(ISBLANK(E194),ISBLANK(F194),ISBLANK(G194),ISBLANK(H194))))</f>
        <v>0</v>
      </c>
      <c r="D194" s="8">
        <f t="shared" ref="D194:D257" si="7">4-(ISBLANK(E194)+ISBLANK(F194)+ISBLANK(G194)+ISBLANK(H194))</f>
        <v>0</v>
      </c>
      <c r="E194" s="9"/>
      <c r="F194" s="10"/>
      <c r="G194" s="10"/>
      <c r="H194" s="10"/>
      <c r="I194" s="9">
        <v>89046</v>
      </c>
      <c r="J194" s="1" t="s">
        <v>528</v>
      </c>
      <c r="K194" s="1" t="s">
        <v>207</v>
      </c>
    </row>
    <row r="195" spans="1:11" x14ac:dyDescent="0.2">
      <c r="A195" s="2" t="s">
        <v>1012</v>
      </c>
      <c r="B195" t="s">
        <v>603</v>
      </c>
      <c r="C195" s="7">
        <f t="shared" si="6"/>
        <v>0</v>
      </c>
      <c r="D195" s="8">
        <f t="shared" si="7"/>
        <v>0</v>
      </c>
      <c r="E195" s="9"/>
      <c r="F195" s="10"/>
      <c r="G195" s="10"/>
      <c r="H195" s="10"/>
      <c r="I195" s="9">
        <v>237617</v>
      </c>
      <c r="J195" s="1" t="s">
        <v>313</v>
      </c>
      <c r="K195" s="1" t="s">
        <v>314</v>
      </c>
    </row>
    <row r="196" spans="1:11" x14ac:dyDescent="0.2">
      <c r="A196" s="6" t="s">
        <v>1091</v>
      </c>
      <c r="B196" t="s">
        <v>603</v>
      </c>
      <c r="C196" s="7">
        <f t="shared" si="6"/>
        <v>0</v>
      </c>
      <c r="D196" s="8">
        <f t="shared" si="7"/>
        <v>0</v>
      </c>
      <c r="E196" s="9"/>
      <c r="F196" s="10"/>
      <c r="G196" s="10"/>
      <c r="H196" s="10"/>
      <c r="I196" s="9">
        <v>101390</v>
      </c>
      <c r="J196" s="1" t="s">
        <v>513</v>
      </c>
      <c r="K196" s="1" t="s">
        <v>15</v>
      </c>
    </row>
    <row r="197" spans="1:11" x14ac:dyDescent="0.2">
      <c r="A197" s="6" t="s">
        <v>1055</v>
      </c>
      <c r="B197" t="s">
        <v>603</v>
      </c>
      <c r="C197" s="7">
        <f t="shared" si="6"/>
        <v>0</v>
      </c>
      <c r="D197" s="8">
        <f t="shared" si="7"/>
        <v>0</v>
      </c>
      <c r="E197" s="9"/>
      <c r="F197" s="10"/>
      <c r="G197" s="10"/>
      <c r="H197" s="10"/>
      <c r="I197" s="9">
        <v>152588</v>
      </c>
      <c r="J197" s="1" t="s">
        <v>425</v>
      </c>
      <c r="K197" s="1"/>
    </row>
    <row r="198" spans="1:11" x14ac:dyDescent="0.2">
      <c r="A198" s="6" t="s">
        <v>1025</v>
      </c>
      <c r="B198" t="s">
        <v>603</v>
      </c>
      <c r="C198" s="7">
        <f t="shared" si="6"/>
        <v>0</v>
      </c>
      <c r="D198" s="8">
        <f t="shared" si="7"/>
        <v>0</v>
      </c>
      <c r="E198" s="9"/>
      <c r="F198" s="10"/>
      <c r="G198" s="10"/>
      <c r="H198" s="10"/>
      <c r="I198" s="9">
        <v>204110</v>
      </c>
      <c r="J198" s="1" t="s">
        <v>352</v>
      </c>
      <c r="K198" s="1" t="s">
        <v>314</v>
      </c>
    </row>
    <row r="199" spans="1:11" x14ac:dyDescent="0.2">
      <c r="A199" s="2" t="s">
        <v>870</v>
      </c>
      <c r="B199" t="s">
        <v>640</v>
      </c>
      <c r="C199" s="7">
        <f t="shared" si="6"/>
        <v>0</v>
      </c>
      <c r="D199" s="8">
        <f t="shared" si="7"/>
        <v>0</v>
      </c>
      <c r="E199" s="9"/>
      <c r="F199" s="10"/>
      <c r="G199" s="10"/>
      <c r="H199" s="10"/>
      <c r="I199" s="9">
        <v>163769</v>
      </c>
      <c r="J199" s="1" t="s">
        <v>399</v>
      </c>
      <c r="K199" s="1"/>
    </row>
    <row r="200" spans="1:11" x14ac:dyDescent="0.2">
      <c r="A200" s="6" t="s">
        <v>1071</v>
      </c>
      <c r="B200" t="s">
        <v>670</v>
      </c>
      <c r="C200" s="7">
        <f t="shared" si="6"/>
        <v>0</v>
      </c>
      <c r="D200" s="8">
        <f t="shared" si="7"/>
        <v>0</v>
      </c>
      <c r="E200" s="9"/>
      <c r="F200" s="10"/>
      <c r="G200" s="10"/>
      <c r="H200" s="10"/>
      <c r="I200" s="9">
        <v>129227</v>
      </c>
      <c r="J200" s="1" t="s">
        <v>461</v>
      </c>
      <c r="K200" s="1" t="s">
        <v>145</v>
      </c>
    </row>
    <row r="201" spans="1:11" x14ac:dyDescent="0.2">
      <c r="A201" s="2" t="s">
        <v>998</v>
      </c>
      <c r="B201" t="s">
        <v>670</v>
      </c>
      <c r="C201" s="7">
        <f t="shared" si="6"/>
        <v>0</v>
      </c>
      <c r="D201" s="8">
        <f t="shared" si="7"/>
        <v>0</v>
      </c>
      <c r="E201" s="9"/>
      <c r="F201" s="10"/>
      <c r="G201" s="10"/>
      <c r="H201" s="10"/>
      <c r="I201" s="9">
        <v>278677</v>
      </c>
      <c r="J201" s="1" t="s">
        <v>284</v>
      </c>
      <c r="K201" s="1" t="s">
        <v>285</v>
      </c>
    </row>
    <row r="202" spans="1:11" x14ac:dyDescent="0.2">
      <c r="A202" s="6" t="s">
        <v>1094</v>
      </c>
      <c r="B202" t="s">
        <v>670</v>
      </c>
      <c r="C202" s="7">
        <f t="shared" si="6"/>
        <v>0</v>
      </c>
      <c r="D202" s="8">
        <f t="shared" si="7"/>
        <v>0</v>
      </c>
      <c r="E202" s="9"/>
      <c r="F202" s="10"/>
      <c r="G202" s="10"/>
      <c r="H202" s="10"/>
      <c r="I202" s="9">
        <v>99242</v>
      </c>
      <c r="J202" s="1" t="s">
        <v>519</v>
      </c>
      <c r="K202" s="1"/>
    </row>
    <row r="203" spans="1:11" x14ac:dyDescent="0.2">
      <c r="A203" s="6" t="s">
        <v>1034</v>
      </c>
      <c r="B203" t="s">
        <v>670</v>
      </c>
      <c r="C203" s="7">
        <f t="shared" si="6"/>
        <v>0</v>
      </c>
      <c r="D203" s="8">
        <f t="shared" si="7"/>
        <v>0</v>
      </c>
      <c r="E203" s="9"/>
      <c r="F203" s="10"/>
      <c r="G203" s="10"/>
      <c r="H203" s="10"/>
      <c r="I203" s="9">
        <v>182711</v>
      </c>
      <c r="J203" s="1" t="s">
        <v>372</v>
      </c>
      <c r="K203" s="1" t="s">
        <v>285</v>
      </c>
    </row>
    <row r="204" spans="1:11" x14ac:dyDescent="0.2">
      <c r="A204" s="6" t="s">
        <v>1119</v>
      </c>
      <c r="B204" t="s">
        <v>670</v>
      </c>
      <c r="C204" s="7">
        <f t="shared" si="6"/>
        <v>0</v>
      </c>
      <c r="D204" s="8">
        <f t="shared" si="7"/>
        <v>0</v>
      </c>
      <c r="E204" s="9"/>
      <c r="F204" s="10"/>
      <c r="G204" s="10"/>
      <c r="H204" s="10"/>
      <c r="I204" s="9">
        <v>145994</v>
      </c>
      <c r="J204" s="1" t="s">
        <v>434</v>
      </c>
      <c r="K204" s="1" t="s">
        <v>435</v>
      </c>
    </row>
    <row r="205" spans="1:11" x14ac:dyDescent="0.2">
      <c r="A205" s="6" t="s">
        <v>1113</v>
      </c>
      <c r="B205" t="s">
        <v>670</v>
      </c>
      <c r="C205" s="7">
        <f t="shared" si="6"/>
        <v>0</v>
      </c>
      <c r="D205" s="8">
        <f t="shared" si="7"/>
        <v>0</v>
      </c>
      <c r="E205" s="9"/>
      <c r="F205" s="10"/>
      <c r="G205" s="10"/>
      <c r="H205" s="10"/>
      <c r="I205" s="9">
        <v>170081</v>
      </c>
      <c r="J205" s="1" t="s">
        <v>391</v>
      </c>
      <c r="K205" s="1"/>
    </row>
    <row r="206" spans="1:11" x14ac:dyDescent="0.2">
      <c r="A206" s="2" t="s">
        <v>872</v>
      </c>
      <c r="B206" t="s">
        <v>662</v>
      </c>
      <c r="C206" s="7">
        <f t="shared" si="6"/>
        <v>0</v>
      </c>
      <c r="D206" s="8">
        <f t="shared" si="7"/>
        <v>0</v>
      </c>
      <c r="E206" s="9"/>
      <c r="F206" s="10"/>
      <c r="G206" s="10"/>
      <c r="H206" s="10"/>
      <c r="I206" s="9">
        <v>188323</v>
      </c>
      <c r="J206" s="1" t="s">
        <v>363</v>
      </c>
      <c r="K206" s="1" t="s">
        <v>166</v>
      </c>
    </row>
    <row r="207" spans="1:11" x14ac:dyDescent="0.2">
      <c r="A207" s="6" t="s">
        <v>1040</v>
      </c>
      <c r="B207" t="s">
        <v>662</v>
      </c>
      <c r="C207" s="7">
        <f t="shared" si="6"/>
        <v>0</v>
      </c>
      <c r="D207" s="8">
        <f t="shared" si="7"/>
        <v>0</v>
      </c>
      <c r="E207" s="9"/>
      <c r="F207" s="10"/>
      <c r="G207" s="10"/>
      <c r="H207" s="10"/>
      <c r="I207" s="9">
        <v>171233</v>
      </c>
      <c r="J207" s="1" t="s">
        <v>386</v>
      </c>
      <c r="K207" s="1" t="s">
        <v>387</v>
      </c>
    </row>
    <row r="208" spans="1:11" x14ac:dyDescent="0.2">
      <c r="A208" s="6" t="s">
        <v>1132</v>
      </c>
      <c r="B208" t="s">
        <v>662</v>
      </c>
      <c r="C208" s="7">
        <f t="shared" si="6"/>
        <v>0</v>
      </c>
      <c r="D208" s="8">
        <f t="shared" si="7"/>
        <v>0</v>
      </c>
      <c r="E208" s="9"/>
      <c r="F208" s="10"/>
      <c r="G208" s="10"/>
      <c r="H208" s="10"/>
      <c r="I208" s="9">
        <v>65370</v>
      </c>
      <c r="J208" s="1" t="s">
        <v>541</v>
      </c>
      <c r="K208" s="1"/>
    </row>
    <row r="209" spans="1:11" x14ac:dyDescent="0.2">
      <c r="A209" s="6" t="s">
        <v>1097</v>
      </c>
      <c r="B209" t="s">
        <v>662</v>
      </c>
      <c r="C209" s="7">
        <f t="shared" si="6"/>
        <v>0</v>
      </c>
      <c r="D209" s="8">
        <f t="shared" si="7"/>
        <v>0</v>
      </c>
      <c r="E209" s="9"/>
      <c r="F209" s="10"/>
      <c r="G209" s="10"/>
      <c r="H209" s="10"/>
      <c r="I209" s="9">
        <v>91010</v>
      </c>
      <c r="J209" s="1" t="s">
        <v>527</v>
      </c>
      <c r="K209" s="1"/>
    </row>
    <row r="210" spans="1:11" x14ac:dyDescent="0.2">
      <c r="A210" s="6" t="s">
        <v>1039</v>
      </c>
      <c r="B210" t="s">
        <v>590</v>
      </c>
      <c r="C210" s="7">
        <f t="shared" si="6"/>
        <v>0</v>
      </c>
      <c r="D210" s="8">
        <f t="shared" si="7"/>
        <v>0</v>
      </c>
      <c r="E210" s="9"/>
      <c r="F210" s="10"/>
      <c r="G210" s="10"/>
      <c r="H210" s="10"/>
      <c r="I210" s="9">
        <v>172069</v>
      </c>
      <c r="J210" s="1" t="s">
        <v>384</v>
      </c>
      <c r="K210" s="1" t="s">
        <v>385</v>
      </c>
    </row>
    <row r="211" spans="1:11" x14ac:dyDescent="0.2">
      <c r="A211" s="2" t="s">
        <v>905</v>
      </c>
      <c r="B211" t="s">
        <v>590</v>
      </c>
      <c r="C211" s="7">
        <f t="shared" si="6"/>
        <v>0</v>
      </c>
      <c r="D211" s="8">
        <f t="shared" si="7"/>
        <v>0</v>
      </c>
      <c r="E211" s="9"/>
      <c r="F211" s="10"/>
      <c r="G211" s="10"/>
      <c r="H211" s="10"/>
      <c r="I211" s="9">
        <v>242453</v>
      </c>
      <c r="J211" s="1" t="s">
        <v>311</v>
      </c>
      <c r="K211" s="1" t="s">
        <v>312</v>
      </c>
    </row>
    <row r="212" spans="1:11" x14ac:dyDescent="0.2">
      <c r="A212" s="6" t="s">
        <v>1093</v>
      </c>
      <c r="B212" t="s">
        <v>590</v>
      </c>
      <c r="C212" s="7">
        <f t="shared" si="6"/>
        <v>0</v>
      </c>
      <c r="D212" s="8">
        <f t="shared" si="7"/>
        <v>0</v>
      </c>
      <c r="E212" s="9"/>
      <c r="F212" s="10"/>
      <c r="G212" s="10"/>
      <c r="H212" s="10"/>
      <c r="I212" s="9">
        <v>100737</v>
      </c>
      <c r="J212" s="1" t="s">
        <v>516</v>
      </c>
      <c r="K212" s="1"/>
    </row>
    <row r="213" spans="1:11" x14ac:dyDescent="0.2">
      <c r="A213" s="6" t="s">
        <v>1086</v>
      </c>
      <c r="B213" t="s">
        <v>590</v>
      </c>
      <c r="C213" s="7">
        <f t="shared" si="6"/>
        <v>0</v>
      </c>
      <c r="D213" s="8">
        <f t="shared" si="7"/>
        <v>0</v>
      </c>
      <c r="E213" s="9"/>
      <c r="F213" s="10"/>
      <c r="G213" s="10"/>
      <c r="H213" s="10"/>
      <c r="I213" s="9">
        <v>106410</v>
      </c>
      <c r="J213" s="1" t="s">
        <v>500</v>
      </c>
      <c r="K213" s="1" t="s">
        <v>5</v>
      </c>
    </row>
    <row r="214" spans="1:11" x14ac:dyDescent="0.2">
      <c r="A214" s="2" t="s">
        <v>873</v>
      </c>
      <c r="B214" t="s">
        <v>590</v>
      </c>
      <c r="C214" s="7">
        <f t="shared" si="6"/>
        <v>0</v>
      </c>
      <c r="D214" s="8">
        <f t="shared" si="7"/>
        <v>0</v>
      </c>
      <c r="E214" s="9"/>
      <c r="F214" s="10"/>
      <c r="G214" s="10"/>
      <c r="H214" s="10"/>
      <c r="I214" s="9">
        <v>364565</v>
      </c>
      <c r="J214" s="1" t="s">
        <v>248</v>
      </c>
      <c r="K214" s="1" t="s">
        <v>249</v>
      </c>
    </row>
    <row r="215" spans="1:11" x14ac:dyDescent="0.2">
      <c r="A215" s="2" t="s">
        <v>904</v>
      </c>
      <c r="B215" t="s">
        <v>590</v>
      </c>
      <c r="C215" s="7">
        <f t="shared" si="6"/>
        <v>0</v>
      </c>
      <c r="D215" s="8">
        <f t="shared" si="7"/>
        <v>0</v>
      </c>
      <c r="E215" s="9"/>
      <c r="F215" s="10"/>
      <c r="G215" s="10"/>
      <c r="H215" s="10"/>
      <c r="I215" s="9">
        <v>337103</v>
      </c>
      <c r="J215" s="1" t="s">
        <v>255</v>
      </c>
      <c r="K215" s="1" t="s">
        <v>256</v>
      </c>
    </row>
    <row r="216" spans="1:11" x14ac:dyDescent="0.2">
      <c r="A216" s="6" t="s">
        <v>1046</v>
      </c>
      <c r="B216" t="s">
        <v>620</v>
      </c>
      <c r="C216" s="7">
        <f t="shared" si="6"/>
        <v>0</v>
      </c>
      <c r="D216" s="8">
        <f t="shared" si="7"/>
        <v>0</v>
      </c>
      <c r="E216" s="9"/>
      <c r="F216" s="10"/>
      <c r="G216" s="10"/>
      <c r="H216" s="10"/>
      <c r="I216" s="9">
        <v>162553</v>
      </c>
      <c r="J216" s="1" t="s">
        <v>400</v>
      </c>
      <c r="K216" s="1" t="s">
        <v>401</v>
      </c>
    </row>
    <row r="217" spans="1:11" x14ac:dyDescent="0.2">
      <c r="A217" s="6" t="s">
        <v>1099</v>
      </c>
      <c r="B217" t="s">
        <v>620</v>
      </c>
      <c r="C217" s="7">
        <f t="shared" si="6"/>
        <v>0</v>
      </c>
      <c r="D217" s="8">
        <f t="shared" si="7"/>
        <v>0</v>
      </c>
      <c r="E217" s="9"/>
      <c r="F217" s="10"/>
      <c r="G217" s="10"/>
      <c r="H217" s="10"/>
      <c r="I217" s="9">
        <v>84741</v>
      </c>
      <c r="J217" s="1" t="s">
        <v>532</v>
      </c>
      <c r="K217" s="1" t="s">
        <v>60</v>
      </c>
    </row>
    <row r="218" spans="1:11" x14ac:dyDescent="0.2">
      <c r="A218" s="6" t="s">
        <v>1106</v>
      </c>
      <c r="B218" t="s">
        <v>620</v>
      </c>
      <c r="C218" s="7">
        <f t="shared" si="6"/>
        <v>0</v>
      </c>
      <c r="D218" s="8">
        <f t="shared" si="7"/>
        <v>0</v>
      </c>
      <c r="E218" s="9"/>
      <c r="F218" s="10"/>
      <c r="G218" s="10"/>
      <c r="H218" s="10"/>
      <c r="I218" s="9">
        <v>207436</v>
      </c>
      <c r="J218" s="1" t="s">
        <v>345</v>
      </c>
      <c r="K218" s="1" t="s">
        <v>261</v>
      </c>
    </row>
    <row r="219" spans="1:11" x14ac:dyDescent="0.2">
      <c r="A219" s="2" t="s">
        <v>1002</v>
      </c>
      <c r="B219" t="s">
        <v>620</v>
      </c>
      <c r="C219" s="7">
        <f t="shared" si="6"/>
        <v>0</v>
      </c>
      <c r="D219" s="8">
        <f t="shared" si="7"/>
        <v>0</v>
      </c>
      <c r="E219" s="9"/>
      <c r="F219" s="10"/>
      <c r="G219" s="10"/>
      <c r="H219" s="10"/>
      <c r="I219" s="9">
        <v>271793</v>
      </c>
      <c r="J219" s="1" t="s">
        <v>290</v>
      </c>
      <c r="K219" s="1" t="s">
        <v>291</v>
      </c>
    </row>
    <row r="220" spans="1:11" x14ac:dyDescent="0.2">
      <c r="A220" s="2" t="s">
        <v>906</v>
      </c>
      <c r="B220" t="s">
        <v>620</v>
      </c>
      <c r="C220" s="7">
        <f t="shared" si="6"/>
        <v>0</v>
      </c>
      <c r="D220" s="8">
        <f t="shared" si="7"/>
        <v>0</v>
      </c>
      <c r="E220" s="9"/>
      <c r="F220" s="10"/>
      <c r="G220" s="10"/>
      <c r="H220" s="10"/>
      <c r="I220" s="9">
        <v>462978</v>
      </c>
      <c r="J220" s="1" t="s">
        <v>194</v>
      </c>
      <c r="K220" s="1" t="s">
        <v>195</v>
      </c>
    </row>
    <row r="221" spans="1:11" x14ac:dyDescent="0.2">
      <c r="A221" s="6" t="s">
        <v>1100</v>
      </c>
      <c r="B221" t="s">
        <v>620</v>
      </c>
      <c r="C221" s="7">
        <f t="shared" si="6"/>
        <v>0</v>
      </c>
      <c r="D221" s="8">
        <f t="shared" si="7"/>
        <v>0</v>
      </c>
      <c r="E221" s="9"/>
      <c r="F221" s="10"/>
      <c r="G221" s="10"/>
      <c r="H221" s="10"/>
      <c r="I221" s="9">
        <v>84082</v>
      </c>
      <c r="J221" s="1" t="s">
        <v>534</v>
      </c>
      <c r="K221" s="1" t="s">
        <v>60</v>
      </c>
    </row>
    <row r="222" spans="1:11" x14ac:dyDescent="0.2">
      <c r="A222" s="2" t="s">
        <v>1015</v>
      </c>
      <c r="B222" t="s">
        <v>620</v>
      </c>
      <c r="C222" s="7">
        <f t="shared" si="6"/>
        <v>0</v>
      </c>
      <c r="D222" s="8">
        <f t="shared" si="7"/>
        <v>0</v>
      </c>
      <c r="E222" s="9"/>
      <c r="F222" s="10"/>
      <c r="G222" s="10"/>
      <c r="H222" s="10"/>
      <c r="I222" s="9">
        <v>229701</v>
      </c>
      <c r="J222" s="1" t="s">
        <v>322</v>
      </c>
      <c r="K222" s="1" t="s">
        <v>323</v>
      </c>
    </row>
    <row r="223" spans="1:11" x14ac:dyDescent="0.2">
      <c r="A223" s="6" t="s">
        <v>1129</v>
      </c>
      <c r="B223" t="s">
        <v>620</v>
      </c>
      <c r="C223" s="7">
        <f t="shared" si="6"/>
        <v>0</v>
      </c>
      <c r="D223" s="8">
        <f t="shared" si="7"/>
        <v>0</v>
      </c>
      <c r="E223" s="9"/>
      <c r="F223" s="10"/>
      <c r="G223" s="10"/>
      <c r="H223" s="10"/>
      <c r="I223" s="9">
        <v>111348</v>
      </c>
      <c r="J223" s="1" t="s">
        <v>495</v>
      </c>
      <c r="K223" s="1" t="s">
        <v>5</v>
      </c>
    </row>
    <row r="224" spans="1:11" x14ac:dyDescent="0.2">
      <c r="A224" s="6" t="s">
        <v>1082</v>
      </c>
      <c r="B224" t="s">
        <v>620</v>
      </c>
      <c r="C224" s="7">
        <f t="shared" si="6"/>
        <v>0</v>
      </c>
      <c r="D224" s="8">
        <f t="shared" si="7"/>
        <v>0</v>
      </c>
      <c r="E224" s="9"/>
      <c r="F224" s="10"/>
      <c r="G224" s="10"/>
      <c r="H224" s="10"/>
      <c r="I224" s="9">
        <v>112951</v>
      </c>
      <c r="J224" s="1" t="s">
        <v>494</v>
      </c>
      <c r="K224" s="1" t="s">
        <v>60</v>
      </c>
    </row>
    <row r="225" spans="1:11" x14ac:dyDescent="0.2">
      <c r="A225" s="2" t="s">
        <v>907</v>
      </c>
      <c r="B225" t="s">
        <v>620</v>
      </c>
      <c r="C225" s="7">
        <f t="shared" si="6"/>
        <v>0</v>
      </c>
      <c r="D225" s="8">
        <f t="shared" si="7"/>
        <v>0</v>
      </c>
      <c r="E225" s="9"/>
      <c r="F225" s="10"/>
      <c r="G225" s="10"/>
      <c r="H225" s="10"/>
      <c r="I225" s="9">
        <v>325294</v>
      </c>
      <c r="J225" s="1" t="s">
        <v>260</v>
      </c>
      <c r="K225" s="1" t="s">
        <v>261</v>
      </c>
    </row>
    <row r="226" spans="1:11" x14ac:dyDescent="0.2">
      <c r="A226" s="6" t="s">
        <v>1044</v>
      </c>
      <c r="B226" t="s">
        <v>620</v>
      </c>
      <c r="C226" s="7">
        <f t="shared" si="6"/>
        <v>0</v>
      </c>
      <c r="D226" s="8">
        <f t="shared" si="7"/>
        <v>0</v>
      </c>
      <c r="E226" s="9"/>
      <c r="F226" s="10"/>
      <c r="G226" s="10"/>
      <c r="H226" s="10"/>
      <c r="I226" s="9">
        <v>168874</v>
      </c>
      <c r="J226" s="1" t="s">
        <v>395</v>
      </c>
      <c r="K226" s="1"/>
    </row>
    <row r="227" spans="1:11" x14ac:dyDescent="0.2">
      <c r="A227" s="2" t="s">
        <v>912</v>
      </c>
      <c r="B227" t="s">
        <v>677</v>
      </c>
      <c r="C227" s="7">
        <f t="shared" si="6"/>
        <v>0</v>
      </c>
      <c r="D227" s="8">
        <f t="shared" si="7"/>
        <v>0</v>
      </c>
      <c r="E227" s="9"/>
      <c r="F227" s="10"/>
      <c r="G227" s="10"/>
      <c r="H227" s="10"/>
      <c r="I227" s="9">
        <v>121989</v>
      </c>
      <c r="J227" s="1" t="s">
        <v>476</v>
      </c>
      <c r="K227" s="1" t="s">
        <v>56</v>
      </c>
    </row>
    <row r="228" spans="1:11" x14ac:dyDescent="0.2">
      <c r="A228" s="2" t="s">
        <v>911</v>
      </c>
      <c r="B228" t="s">
        <v>677</v>
      </c>
      <c r="C228" s="7">
        <f t="shared" si="6"/>
        <v>0</v>
      </c>
      <c r="D228" s="8">
        <f t="shared" si="7"/>
        <v>0</v>
      </c>
      <c r="E228" s="9"/>
      <c r="F228" s="10"/>
      <c r="G228" s="10"/>
      <c r="H228" s="10"/>
      <c r="I228" s="9">
        <v>134892</v>
      </c>
      <c r="J228" s="1" t="s">
        <v>451</v>
      </c>
      <c r="K228" s="1"/>
    </row>
    <row r="229" spans="1:11" x14ac:dyDescent="0.2">
      <c r="A229" s="2" t="s">
        <v>863</v>
      </c>
      <c r="B229" t="s">
        <v>626</v>
      </c>
      <c r="C229" s="7">
        <f t="shared" si="6"/>
        <v>0</v>
      </c>
      <c r="D229" s="8">
        <f t="shared" si="7"/>
        <v>0</v>
      </c>
      <c r="E229" s="9"/>
      <c r="F229" s="10"/>
      <c r="G229" s="10"/>
      <c r="H229" s="10"/>
      <c r="I229" s="9">
        <v>195159</v>
      </c>
      <c r="J229" s="1" t="s">
        <v>357</v>
      </c>
      <c r="K229" s="1" t="s">
        <v>358</v>
      </c>
    </row>
    <row r="230" spans="1:11" x14ac:dyDescent="0.2">
      <c r="A230" s="2" t="s">
        <v>908</v>
      </c>
      <c r="B230" t="s">
        <v>626</v>
      </c>
      <c r="C230" s="7">
        <f t="shared" si="6"/>
        <v>0</v>
      </c>
      <c r="D230" s="8">
        <f t="shared" si="7"/>
        <v>0</v>
      </c>
      <c r="E230" s="9"/>
      <c r="F230" s="10"/>
      <c r="G230" s="10"/>
      <c r="H230" s="10"/>
      <c r="I230" s="9">
        <v>127954</v>
      </c>
      <c r="J230" s="1" t="s">
        <v>464</v>
      </c>
      <c r="K230" s="1" t="s">
        <v>78</v>
      </c>
    </row>
    <row r="231" spans="1:11" x14ac:dyDescent="0.2">
      <c r="A231" s="2" t="s">
        <v>874</v>
      </c>
      <c r="B231" t="s">
        <v>626</v>
      </c>
      <c r="C231" s="7">
        <f t="shared" si="6"/>
        <v>0</v>
      </c>
      <c r="D231" s="8">
        <f t="shared" si="7"/>
        <v>0</v>
      </c>
      <c r="E231" s="9"/>
      <c r="F231" s="10"/>
      <c r="G231" s="10"/>
      <c r="H231" s="10"/>
      <c r="I231" s="9">
        <v>533366</v>
      </c>
      <c r="J231" s="1" t="s">
        <v>182</v>
      </c>
      <c r="K231" s="1" t="s">
        <v>183</v>
      </c>
    </row>
    <row r="232" spans="1:11" x14ac:dyDescent="0.2">
      <c r="A232" s="2" t="s">
        <v>909</v>
      </c>
      <c r="B232" t="s">
        <v>626</v>
      </c>
      <c r="C232" s="7">
        <f t="shared" si="6"/>
        <v>0</v>
      </c>
      <c r="D232" s="8">
        <f t="shared" si="7"/>
        <v>0</v>
      </c>
      <c r="E232" s="9"/>
      <c r="F232" s="10"/>
      <c r="G232" s="10"/>
      <c r="H232" s="10"/>
      <c r="I232" s="9">
        <v>113583</v>
      </c>
      <c r="J232" s="1" t="s">
        <v>488</v>
      </c>
      <c r="K232" s="1"/>
    </row>
    <row r="233" spans="1:11" x14ac:dyDescent="0.2">
      <c r="A233" s="2" t="s">
        <v>910</v>
      </c>
      <c r="B233" t="s">
        <v>626</v>
      </c>
      <c r="C233" s="7">
        <f t="shared" si="6"/>
        <v>0</v>
      </c>
      <c r="D233" s="8">
        <f t="shared" si="7"/>
        <v>0</v>
      </c>
      <c r="E233" s="9"/>
      <c r="F233" s="10"/>
      <c r="G233" s="10"/>
      <c r="H233" s="10"/>
      <c r="I233" s="9">
        <v>102395</v>
      </c>
      <c r="J233" s="1" t="s">
        <v>510</v>
      </c>
      <c r="K233" s="1" t="s">
        <v>511</v>
      </c>
    </row>
    <row r="234" spans="1:11" x14ac:dyDescent="0.2">
      <c r="A234" s="6" t="s">
        <v>1057</v>
      </c>
      <c r="B234" t="s">
        <v>645</v>
      </c>
      <c r="C234" s="7">
        <f t="shared" si="6"/>
        <v>0</v>
      </c>
      <c r="D234" s="8">
        <f t="shared" si="7"/>
        <v>0</v>
      </c>
      <c r="E234" s="9"/>
      <c r="F234" s="10"/>
      <c r="G234" s="10"/>
      <c r="H234" s="10"/>
      <c r="I234" s="9">
        <v>148008</v>
      </c>
      <c r="J234" s="1" t="s">
        <v>430</v>
      </c>
      <c r="K234" s="1"/>
    </row>
    <row r="235" spans="1:11" x14ac:dyDescent="0.2">
      <c r="A235" s="6" t="s">
        <v>1062</v>
      </c>
      <c r="B235" t="s">
        <v>645</v>
      </c>
      <c r="C235" s="7">
        <f t="shared" si="6"/>
        <v>0</v>
      </c>
      <c r="D235" s="8">
        <f t="shared" si="7"/>
        <v>0</v>
      </c>
      <c r="E235" s="9"/>
      <c r="F235" s="10"/>
      <c r="G235" s="10"/>
      <c r="H235" s="10"/>
      <c r="I235" s="9">
        <v>139823</v>
      </c>
      <c r="J235" s="1" t="s">
        <v>441</v>
      </c>
      <c r="K235" s="1" t="s">
        <v>122</v>
      </c>
    </row>
    <row r="236" spans="1:11" x14ac:dyDescent="0.2">
      <c r="A236" s="6" t="s">
        <v>1105</v>
      </c>
      <c r="B236" t="s">
        <v>645</v>
      </c>
      <c r="C236" s="7">
        <f t="shared" si="6"/>
        <v>0</v>
      </c>
      <c r="D236" s="8">
        <f t="shared" si="7"/>
        <v>0</v>
      </c>
      <c r="E236" s="9"/>
      <c r="F236" s="10"/>
      <c r="G236" s="10"/>
      <c r="H236" s="10"/>
      <c r="I236" s="9">
        <v>199206</v>
      </c>
      <c r="J236" s="1" t="s">
        <v>355</v>
      </c>
      <c r="K236" s="1"/>
    </row>
    <row r="237" spans="1:11" x14ac:dyDescent="0.2">
      <c r="A237" s="2" t="s">
        <v>875</v>
      </c>
      <c r="B237" t="s">
        <v>645</v>
      </c>
      <c r="C237" s="7">
        <f t="shared" si="6"/>
        <v>0</v>
      </c>
      <c r="D237" s="8">
        <f t="shared" si="7"/>
        <v>0</v>
      </c>
      <c r="E237" s="9"/>
      <c r="F237" s="10"/>
      <c r="G237" s="10"/>
      <c r="H237" s="10"/>
      <c r="I237" s="9">
        <v>419704</v>
      </c>
      <c r="J237" s="1" t="s">
        <v>215</v>
      </c>
      <c r="K237" s="1" t="s">
        <v>216</v>
      </c>
    </row>
    <row r="238" spans="1:11" x14ac:dyDescent="0.2">
      <c r="A238" s="2" t="s">
        <v>1011</v>
      </c>
      <c r="B238" t="s">
        <v>645</v>
      </c>
      <c r="C238" s="7">
        <f t="shared" si="6"/>
        <v>0</v>
      </c>
      <c r="D238" s="8">
        <f t="shared" si="7"/>
        <v>0</v>
      </c>
      <c r="E238" s="9"/>
      <c r="F238" s="10"/>
      <c r="G238" s="10"/>
      <c r="H238" s="10"/>
      <c r="I238" s="9">
        <v>242975</v>
      </c>
      <c r="J238" s="1" t="s">
        <v>309</v>
      </c>
      <c r="K238" s="1" t="s">
        <v>310</v>
      </c>
    </row>
    <row r="239" spans="1:11" x14ac:dyDescent="0.2">
      <c r="A239" s="2" t="s">
        <v>1018</v>
      </c>
      <c r="B239" t="s">
        <v>645</v>
      </c>
      <c r="C239" s="7">
        <f t="shared" si="6"/>
        <v>0</v>
      </c>
      <c r="D239" s="8">
        <f t="shared" si="7"/>
        <v>0</v>
      </c>
      <c r="E239" s="9"/>
      <c r="F239" s="10"/>
      <c r="G239" s="10"/>
      <c r="H239" s="10"/>
      <c r="I239" s="9">
        <v>221921</v>
      </c>
      <c r="J239" s="1" t="s">
        <v>331</v>
      </c>
      <c r="K239" s="1" t="s">
        <v>332</v>
      </c>
    </row>
    <row r="240" spans="1:11" x14ac:dyDescent="0.2">
      <c r="A240" s="2" t="s">
        <v>983</v>
      </c>
      <c r="B240" t="s">
        <v>645</v>
      </c>
      <c r="C240" s="7">
        <f t="shared" si="6"/>
        <v>0</v>
      </c>
      <c r="D240" s="8">
        <f t="shared" si="7"/>
        <v>0</v>
      </c>
      <c r="E240" s="9"/>
      <c r="F240" s="10"/>
      <c r="G240" s="10"/>
      <c r="H240" s="10"/>
      <c r="I240" s="9">
        <v>383269</v>
      </c>
      <c r="J240" s="1" t="s">
        <v>234</v>
      </c>
      <c r="K240" s="1" t="s">
        <v>235</v>
      </c>
    </row>
    <row r="241" spans="1:11" x14ac:dyDescent="0.2">
      <c r="A241" s="2" t="s">
        <v>999</v>
      </c>
      <c r="B241" t="s">
        <v>645</v>
      </c>
      <c r="C241" s="7">
        <f t="shared" si="6"/>
        <v>0</v>
      </c>
      <c r="D241" s="8">
        <f t="shared" si="7"/>
        <v>0</v>
      </c>
      <c r="E241" s="9"/>
      <c r="F241" s="10"/>
      <c r="G241" s="10"/>
      <c r="H241" s="10"/>
      <c r="I241" s="9">
        <v>277615</v>
      </c>
      <c r="J241" s="1" t="s">
        <v>286</v>
      </c>
      <c r="K241" s="1" t="s">
        <v>107</v>
      </c>
    </row>
    <row r="242" spans="1:11" x14ac:dyDescent="0.2">
      <c r="A242" s="2" t="s">
        <v>917</v>
      </c>
      <c r="B242" t="s">
        <v>606</v>
      </c>
      <c r="C242" s="7">
        <f t="shared" si="6"/>
        <v>0</v>
      </c>
      <c r="D242" s="8">
        <f t="shared" si="7"/>
        <v>0</v>
      </c>
      <c r="E242" s="9"/>
      <c r="F242" s="10"/>
      <c r="G242" s="10"/>
      <c r="H242" s="10"/>
      <c r="I242" s="9">
        <v>165399</v>
      </c>
      <c r="J242" s="1" t="s">
        <v>398</v>
      </c>
      <c r="K242" s="1" t="s">
        <v>193</v>
      </c>
    </row>
    <row r="243" spans="1:11" x14ac:dyDescent="0.2">
      <c r="A243" s="2" t="s">
        <v>916</v>
      </c>
      <c r="B243" t="s">
        <v>606</v>
      </c>
      <c r="C243" s="7">
        <f t="shared" si="6"/>
        <v>0</v>
      </c>
      <c r="D243" s="8">
        <f t="shared" si="7"/>
        <v>0</v>
      </c>
      <c r="E243" s="9"/>
      <c r="F243" s="10"/>
      <c r="G243" s="10"/>
      <c r="H243" s="10"/>
      <c r="I243" s="9">
        <v>232570</v>
      </c>
      <c r="J243" s="1" t="s">
        <v>319</v>
      </c>
      <c r="K243" s="1" t="s">
        <v>21</v>
      </c>
    </row>
    <row r="244" spans="1:11" x14ac:dyDescent="0.2">
      <c r="A244" s="2" t="s">
        <v>918</v>
      </c>
      <c r="B244" t="s">
        <v>606</v>
      </c>
      <c r="C244" s="7">
        <f t="shared" si="6"/>
        <v>0</v>
      </c>
      <c r="D244" s="8">
        <f t="shared" si="7"/>
        <v>0</v>
      </c>
      <c r="E244" s="9"/>
      <c r="F244" s="10"/>
      <c r="G244" s="10"/>
      <c r="H244" s="10"/>
      <c r="I244" s="9">
        <v>128726</v>
      </c>
      <c r="J244" s="1" t="s">
        <v>462</v>
      </c>
      <c r="K244" s="1"/>
    </row>
    <row r="245" spans="1:11" x14ac:dyDescent="0.2">
      <c r="A245" s="2" t="s">
        <v>876</v>
      </c>
      <c r="B245" t="s">
        <v>606</v>
      </c>
      <c r="C245" s="7">
        <f t="shared" si="6"/>
        <v>0</v>
      </c>
      <c r="D245" s="8">
        <f t="shared" si="7"/>
        <v>0</v>
      </c>
      <c r="E245" s="9"/>
      <c r="F245" s="10"/>
      <c r="G245" s="10"/>
      <c r="H245" s="10"/>
      <c r="I245" s="9">
        <v>464151</v>
      </c>
      <c r="J245" s="1" t="s">
        <v>192</v>
      </c>
      <c r="K245" s="1" t="s">
        <v>193</v>
      </c>
    </row>
    <row r="246" spans="1:11" x14ac:dyDescent="0.2">
      <c r="A246" s="2" t="s">
        <v>655</v>
      </c>
      <c r="B246" t="s">
        <v>606</v>
      </c>
      <c r="C246" s="7">
        <f t="shared" si="6"/>
        <v>0</v>
      </c>
      <c r="D246" s="8">
        <f t="shared" si="7"/>
        <v>0</v>
      </c>
      <c r="E246" s="9"/>
      <c r="F246" s="10"/>
      <c r="G246" s="10"/>
      <c r="H246" s="10"/>
      <c r="I246" s="9">
        <v>881248</v>
      </c>
      <c r="J246" s="1" t="s">
        <v>123</v>
      </c>
      <c r="K246" s="1" t="s">
        <v>21</v>
      </c>
    </row>
    <row r="247" spans="1:11" x14ac:dyDescent="0.2">
      <c r="A247" s="2" t="s">
        <v>877</v>
      </c>
      <c r="B247" t="s">
        <v>615</v>
      </c>
      <c r="C247" s="7">
        <f t="shared" si="6"/>
        <v>0</v>
      </c>
      <c r="D247" s="8">
        <f t="shared" si="7"/>
        <v>0</v>
      </c>
      <c r="E247" s="9"/>
      <c r="F247" s="10"/>
      <c r="G247" s="10"/>
      <c r="H247" s="10"/>
      <c r="I247" s="9">
        <v>311295</v>
      </c>
      <c r="J247" s="1" t="s">
        <v>269</v>
      </c>
      <c r="K247" s="1" t="s">
        <v>13</v>
      </c>
    </row>
    <row r="248" spans="1:11" x14ac:dyDescent="0.2">
      <c r="A248" s="2" t="s">
        <v>913</v>
      </c>
      <c r="B248" t="s">
        <v>615</v>
      </c>
      <c r="C248" s="7">
        <f t="shared" si="6"/>
        <v>0</v>
      </c>
      <c r="D248" s="8">
        <f t="shared" si="7"/>
        <v>0</v>
      </c>
      <c r="E248" s="9"/>
      <c r="F248" s="10"/>
      <c r="G248" s="10"/>
      <c r="H248" s="10"/>
      <c r="I248" s="9">
        <v>211382</v>
      </c>
      <c r="J248" s="1" t="s">
        <v>342</v>
      </c>
      <c r="K248" s="1" t="s">
        <v>13</v>
      </c>
    </row>
    <row r="249" spans="1:11" x14ac:dyDescent="0.2">
      <c r="A249" s="2" t="s">
        <v>914</v>
      </c>
      <c r="B249" t="s">
        <v>615</v>
      </c>
      <c r="C249" s="7">
        <f t="shared" si="6"/>
        <v>0</v>
      </c>
      <c r="D249" s="8">
        <f t="shared" si="7"/>
        <v>0</v>
      </c>
      <c r="E249" s="9"/>
      <c r="F249" s="10"/>
      <c r="G249" s="10"/>
      <c r="H249" s="10"/>
      <c r="I249" s="9">
        <v>131570</v>
      </c>
      <c r="J249" s="1" t="s">
        <v>457</v>
      </c>
      <c r="K249" s="1" t="s">
        <v>458</v>
      </c>
    </row>
    <row r="250" spans="1:11" x14ac:dyDescent="0.2">
      <c r="A250" s="2" t="s">
        <v>915</v>
      </c>
      <c r="B250" t="s">
        <v>693</v>
      </c>
      <c r="C250" s="7">
        <f t="shared" si="6"/>
        <v>0</v>
      </c>
      <c r="D250" s="8">
        <f t="shared" si="7"/>
        <v>0</v>
      </c>
      <c r="E250" s="9"/>
      <c r="F250" s="10"/>
      <c r="G250" s="10"/>
      <c r="H250" s="10"/>
      <c r="I250" s="9">
        <v>115272</v>
      </c>
      <c r="J250" s="1" t="s">
        <v>486</v>
      </c>
      <c r="K250" s="1" t="s">
        <v>175</v>
      </c>
    </row>
    <row r="251" spans="1:11" x14ac:dyDescent="0.2">
      <c r="A251" s="6" t="s">
        <v>1066</v>
      </c>
      <c r="B251" t="s">
        <v>610</v>
      </c>
      <c r="C251" s="7">
        <f t="shared" si="6"/>
        <v>0</v>
      </c>
      <c r="D251" s="8">
        <f t="shared" si="7"/>
        <v>0</v>
      </c>
      <c r="E251" s="9"/>
      <c r="F251" s="10"/>
      <c r="G251" s="10"/>
      <c r="H251" s="10"/>
      <c r="I251" s="9">
        <v>133785</v>
      </c>
      <c r="J251" s="1" t="s">
        <v>452</v>
      </c>
      <c r="K251" s="1" t="s">
        <v>298</v>
      </c>
    </row>
    <row r="252" spans="1:11" x14ac:dyDescent="0.2">
      <c r="A252" s="6" t="s">
        <v>1090</v>
      </c>
      <c r="B252" t="s">
        <v>610</v>
      </c>
      <c r="C252" s="7">
        <f t="shared" si="6"/>
        <v>0</v>
      </c>
      <c r="D252" s="8">
        <f t="shared" si="7"/>
        <v>0</v>
      </c>
      <c r="E252" s="9"/>
      <c r="F252" s="10"/>
      <c r="G252" s="10"/>
      <c r="H252" s="10"/>
      <c r="I252" s="9">
        <v>102651</v>
      </c>
      <c r="J252" s="1" t="s">
        <v>509</v>
      </c>
      <c r="K252" s="1" t="s">
        <v>365</v>
      </c>
    </row>
    <row r="253" spans="1:11" x14ac:dyDescent="0.2">
      <c r="A253" s="2" t="s">
        <v>978</v>
      </c>
      <c r="B253" t="s">
        <v>610</v>
      </c>
      <c r="C253" s="7">
        <f t="shared" si="6"/>
        <v>0</v>
      </c>
      <c r="D253" s="8">
        <f t="shared" si="7"/>
        <v>0</v>
      </c>
      <c r="E253" s="9"/>
      <c r="F253" s="10"/>
      <c r="G253" s="10"/>
      <c r="H253" s="10"/>
      <c r="I253" s="9">
        <v>402279</v>
      </c>
      <c r="J253" s="1" t="s">
        <v>223</v>
      </c>
      <c r="K253" s="1" t="s">
        <v>26</v>
      </c>
    </row>
    <row r="254" spans="1:11" x14ac:dyDescent="0.2">
      <c r="A254" s="6" t="s">
        <v>1049</v>
      </c>
      <c r="B254" t="s">
        <v>610</v>
      </c>
      <c r="C254" s="7">
        <f t="shared" si="6"/>
        <v>0</v>
      </c>
      <c r="D254" s="8">
        <f t="shared" si="7"/>
        <v>0</v>
      </c>
      <c r="E254" s="9"/>
      <c r="F254" s="10"/>
      <c r="G254" s="10"/>
      <c r="H254" s="10"/>
      <c r="I254" s="9">
        <v>160233</v>
      </c>
      <c r="J254" s="1" t="s">
        <v>404</v>
      </c>
      <c r="K254" s="1"/>
    </row>
    <row r="255" spans="1:11" x14ac:dyDescent="0.2">
      <c r="A255" s="2" t="s">
        <v>1005</v>
      </c>
      <c r="B255" t="s">
        <v>610</v>
      </c>
      <c r="C255" s="7">
        <f t="shared" si="6"/>
        <v>0</v>
      </c>
      <c r="D255" s="8">
        <f t="shared" si="7"/>
        <v>0</v>
      </c>
      <c r="E255" s="9"/>
      <c r="F255" s="10"/>
      <c r="G255" s="10"/>
      <c r="H255" s="10"/>
      <c r="I255" s="9">
        <v>264780</v>
      </c>
      <c r="J255" s="1" t="s">
        <v>297</v>
      </c>
      <c r="K255" s="1" t="s">
        <v>298</v>
      </c>
    </row>
    <row r="256" spans="1:11" x14ac:dyDescent="0.2">
      <c r="A256" s="6" t="s">
        <v>1101</v>
      </c>
      <c r="B256" t="s">
        <v>610</v>
      </c>
      <c r="C256" s="7">
        <f t="shared" si="6"/>
        <v>0</v>
      </c>
      <c r="D256" s="8">
        <f t="shared" si="7"/>
        <v>0</v>
      </c>
      <c r="E256" s="9"/>
      <c r="F256" s="10"/>
      <c r="G256" s="10"/>
      <c r="H256" s="10"/>
      <c r="I256" s="9">
        <v>84022</v>
      </c>
      <c r="J256" s="1" t="s">
        <v>535</v>
      </c>
      <c r="K256" s="1" t="s">
        <v>365</v>
      </c>
    </row>
    <row r="257" spans="1:11" x14ac:dyDescent="0.2">
      <c r="A257" s="6" t="s">
        <v>1053</v>
      </c>
      <c r="B257" t="s">
        <v>610</v>
      </c>
      <c r="C257" s="7">
        <f t="shared" si="6"/>
        <v>0</v>
      </c>
      <c r="D257" s="8">
        <f t="shared" si="7"/>
        <v>0</v>
      </c>
      <c r="E257" s="9"/>
      <c r="F257" s="10"/>
      <c r="G257" s="10"/>
      <c r="H257" s="10"/>
      <c r="I257" s="9">
        <v>156045</v>
      </c>
      <c r="J257" s="1" t="s">
        <v>418</v>
      </c>
      <c r="K257" s="1" t="s">
        <v>26</v>
      </c>
    </row>
    <row r="258" spans="1:11" x14ac:dyDescent="0.2">
      <c r="A258" s="6" t="s">
        <v>1109</v>
      </c>
      <c r="B258" t="s">
        <v>610</v>
      </c>
      <c r="C258" s="7">
        <f t="shared" ref="C258:C321" si="8">INT(NOT(AND(ISBLANK(E258),ISBLANK(F258),ISBLANK(G258),ISBLANK(H258))))</f>
        <v>0</v>
      </c>
      <c r="D258" s="8">
        <f t="shared" ref="D258:D321" si="9">4-(ISBLANK(E258)+ISBLANK(F258)+ISBLANK(G258)+ISBLANK(H258))</f>
        <v>0</v>
      </c>
      <c r="E258" s="9"/>
      <c r="F258" s="10"/>
      <c r="G258" s="10"/>
      <c r="H258" s="10"/>
      <c r="I258" s="9">
        <v>177428</v>
      </c>
      <c r="J258" s="1" t="s">
        <v>379</v>
      </c>
      <c r="K258" s="1" t="s">
        <v>89</v>
      </c>
    </row>
    <row r="259" spans="1:11" x14ac:dyDescent="0.2">
      <c r="A259" s="6" t="s">
        <v>1054</v>
      </c>
      <c r="B259" t="s">
        <v>610</v>
      </c>
      <c r="C259" s="7">
        <f t="shared" si="8"/>
        <v>0</v>
      </c>
      <c r="D259" s="8">
        <f t="shared" si="9"/>
        <v>0</v>
      </c>
      <c r="E259" s="9"/>
      <c r="F259" s="10"/>
      <c r="G259" s="10"/>
      <c r="H259" s="10"/>
      <c r="I259" s="9">
        <v>152703</v>
      </c>
      <c r="J259" s="1" t="s">
        <v>424</v>
      </c>
      <c r="K259" s="1" t="s">
        <v>261</v>
      </c>
    </row>
    <row r="260" spans="1:11" x14ac:dyDescent="0.2">
      <c r="A260" s="6" t="s">
        <v>1028</v>
      </c>
      <c r="B260" t="s">
        <v>610</v>
      </c>
      <c r="C260" s="7">
        <f t="shared" si="8"/>
        <v>0</v>
      </c>
      <c r="D260" s="8">
        <f t="shared" si="9"/>
        <v>0</v>
      </c>
      <c r="E260" s="9"/>
      <c r="F260" s="10"/>
      <c r="G260" s="10"/>
      <c r="H260" s="10"/>
      <c r="I260" s="9">
        <v>187714</v>
      </c>
      <c r="J260" s="1" t="s">
        <v>364</v>
      </c>
      <c r="K260" s="1" t="s">
        <v>365</v>
      </c>
    </row>
    <row r="261" spans="1:11" x14ac:dyDescent="0.2">
      <c r="A261" s="6" t="s">
        <v>1052</v>
      </c>
      <c r="B261" t="s">
        <v>610</v>
      </c>
      <c r="C261" s="7">
        <f t="shared" si="8"/>
        <v>0</v>
      </c>
      <c r="D261" s="8">
        <f t="shared" si="9"/>
        <v>0</v>
      </c>
      <c r="E261" s="9"/>
      <c r="F261" s="10"/>
      <c r="G261" s="10"/>
      <c r="H261" s="10"/>
      <c r="I261" s="9">
        <v>156634</v>
      </c>
      <c r="J261" s="1" t="s">
        <v>411</v>
      </c>
      <c r="K261" s="1"/>
    </row>
    <row r="262" spans="1:11" x14ac:dyDescent="0.2">
      <c r="A262" s="2" t="s">
        <v>879</v>
      </c>
      <c r="B262" t="s">
        <v>612</v>
      </c>
      <c r="C262" s="7">
        <f t="shared" si="8"/>
        <v>0</v>
      </c>
      <c r="D262" s="8">
        <f t="shared" si="9"/>
        <v>0</v>
      </c>
      <c r="E262" s="9"/>
      <c r="F262" s="10"/>
      <c r="G262" s="10"/>
      <c r="H262" s="10"/>
      <c r="I262" s="9">
        <v>281815</v>
      </c>
      <c r="J262" s="1" t="s">
        <v>281</v>
      </c>
      <c r="K262" s="1" t="s">
        <v>282</v>
      </c>
    </row>
    <row r="263" spans="1:11" x14ac:dyDescent="0.2">
      <c r="A263" s="2" t="s">
        <v>920</v>
      </c>
      <c r="B263" t="s">
        <v>612</v>
      </c>
      <c r="C263" s="7">
        <f t="shared" si="8"/>
        <v>0</v>
      </c>
      <c r="D263" s="8">
        <f t="shared" si="9"/>
        <v>0</v>
      </c>
      <c r="E263" s="9"/>
      <c r="F263" s="10"/>
      <c r="G263" s="10"/>
      <c r="H263" s="10"/>
      <c r="I263" s="9">
        <v>105193</v>
      </c>
      <c r="J263" s="1" t="s">
        <v>503</v>
      </c>
      <c r="K263" s="1" t="s">
        <v>504</v>
      </c>
    </row>
    <row r="264" spans="1:11" x14ac:dyDescent="0.2">
      <c r="A264" s="2" t="s">
        <v>880</v>
      </c>
      <c r="B264" t="s">
        <v>612</v>
      </c>
      <c r="C264" s="7">
        <f t="shared" si="8"/>
        <v>0</v>
      </c>
      <c r="D264" s="8">
        <f t="shared" si="9"/>
        <v>0</v>
      </c>
      <c r="E264" s="9"/>
      <c r="F264" s="10"/>
      <c r="G264" s="10"/>
      <c r="H264" s="10"/>
      <c r="I264" s="9">
        <v>230742</v>
      </c>
      <c r="J264" s="1" t="s">
        <v>320</v>
      </c>
      <c r="K264" s="1" t="s">
        <v>321</v>
      </c>
    </row>
    <row r="265" spans="1:11" x14ac:dyDescent="0.2">
      <c r="A265" s="2" t="s">
        <v>919</v>
      </c>
      <c r="B265" t="s">
        <v>612</v>
      </c>
      <c r="C265" s="7">
        <f t="shared" si="8"/>
        <v>0</v>
      </c>
      <c r="D265" s="8">
        <f t="shared" si="9"/>
        <v>0</v>
      </c>
      <c r="E265" s="9"/>
      <c r="F265" s="10"/>
      <c r="G265" s="10"/>
      <c r="H265" s="10"/>
      <c r="I265" s="9">
        <v>205878</v>
      </c>
      <c r="J265" s="1" t="s">
        <v>351</v>
      </c>
      <c r="K265" s="1" t="s">
        <v>30</v>
      </c>
    </row>
    <row r="266" spans="1:11" x14ac:dyDescent="0.2">
      <c r="A266" s="2" t="s">
        <v>926</v>
      </c>
      <c r="B266" t="s">
        <v>616</v>
      </c>
      <c r="C266" s="7">
        <f t="shared" si="8"/>
        <v>0</v>
      </c>
      <c r="D266" s="8">
        <f t="shared" si="9"/>
        <v>0</v>
      </c>
      <c r="E266" s="9"/>
      <c r="F266" s="10"/>
      <c r="G266" s="10"/>
      <c r="H266" s="10"/>
      <c r="I266" s="9">
        <v>98862</v>
      </c>
      <c r="J266" s="1" t="s">
        <v>523</v>
      </c>
      <c r="K266" s="1" t="s">
        <v>524</v>
      </c>
    </row>
    <row r="267" spans="1:11" x14ac:dyDescent="0.2">
      <c r="A267" s="2" t="s">
        <v>923</v>
      </c>
      <c r="B267" t="s">
        <v>616</v>
      </c>
      <c r="C267" s="7">
        <f t="shared" si="8"/>
        <v>0</v>
      </c>
      <c r="D267" s="8">
        <f t="shared" si="9"/>
        <v>0</v>
      </c>
      <c r="E267" s="9"/>
      <c r="F267" s="10"/>
      <c r="G267" s="10"/>
      <c r="H267" s="10"/>
      <c r="I267" s="9">
        <v>219426</v>
      </c>
      <c r="J267" s="1" t="s">
        <v>337</v>
      </c>
      <c r="K267" s="1" t="s">
        <v>338</v>
      </c>
    </row>
    <row r="268" spans="1:11" x14ac:dyDescent="0.2">
      <c r="A268" s="2" t="s">
        <v>924</v>
      </c>
      <c r="B268" t="s">
        <v>616</v>
      </c>
      <c r="C268" s="7">
        <f t="shared" si="8"/>
        <v>0</v>
      </c>
      <c r="D268" s="8">
        <f t="shared" si="9"/>
        <v>0</v>
      </c>
      <c r="E268" s="9"/>
      <c r="F268" s="10"/>
      <c r="G268" s="10"/>
      <c r="H268" s="10"/>
      <c r="I268" s="9">
        <v>207131</v>
      </c>
      <c r="J268" s="1" t="s">
        <v>346</v>
      </c>
      <c r="K268" s="1" t="s">
        <v>347</v>
      </c>
    </row>
    <row r="269" spans="1:11" x14ac:dyDescent="0.2">
      <c r="A269" s="2" t="s">
        <v>881</v>
      </c>
      <c r="B269" t="s">
        <v>616</v>
      </c>
      <c r="C269" s="7">
        <f t="shared" si="8"/>
        <v>0</v>
      </c>
      <c r="D269" s="8">
        <f t="shared" si="9"/>
        <v>0</v>
      </c>
      <c r="E269" s="9"/>
      <c r="F269" s="10"/>
      <c r="G269" s="10"/>
      <c r="H269" s="10"/>
      <c r="I269" s="9">
        <v>496975</v>
      </c>
      <c r="J269" s="1" t="s">
        <v>185</v>
      </c>
      <c r="K269" s="1"/>
    </row>
    <row r="270" spans="1:11" x14ac:dyDescent="0.2">
      <c r="A270" s="2" t="s">
        <v>925</v>
      </c>
      <c r="B270" t="s">
        <v>616</v>
      </c>
      <c r="C270" s="7">
        <f t="shared" si="8"/>
        <v>0</v>
      </c>
      <c r="D270" s="8">
        <f t="shared" si="9"/>
        <v>0</v>
      </c>
      <c r="E270" s="9"/>
      <c r="F270" s="10"/>
      <c r="G270" s="10"/>
      <c r="H270" s="10"/>
      <c r="I270" s="9">
        <v>119124</v>
      </c>
      <c r="J270" s="1" t="s">
        <v>482</v>
      </c>
      <c r="K270" s="1" t="s">
        <v>56</v>
      </c>
    </row>
    <row r="271" spans="1:11" x14ac:dyDescent="0.2">
      <c r="A271" s="2" t="s">
        <v>882</v>
      </c>
      <c r="B271" t="s">
        <v>684</v>
      </c>
      <c r="C271" s="7">
        <f t="shared" si="8"/>
        <v>0</v>
      </c>
      <c r="D271" s="8">
        <f t="shared" si="9"/>
        <v>0</v>
      </c>
      <c r="E271" s="9"/>
      <c r="F271" s="10"/>
      <c r="G271" s="10"/>
      <c r="H271" s="10"/>
      <c r="I271" s="9">
        <v>426793</v>
      </c>
      <c r="J271" s="1" t="s">
        <v>210</v>
      </c>
      <c r="K271" s="1"/>
    </row>
    <row r="272" spans="1:11" x14ac:dyDescent="0.2">
      <c r="A272" s="2" t="s">
        <v>921</v>
      </c>
      <c r="B272" t="s">
        <v>684</v>
      </c>
      <c r="C272" s="7">
        <f t="shared" si="8"/>
        <v>0</v>
      </c>
      <c r="D272" s="8">
        <f t="shared" si="9"/>
        <v>0</v>
      </c>
      <c r="E272" s="9"/>
      <c r="F272" s="10"/>
      <c r="G272" s="10"/>
      <c r="H272" s="10"/>
      <c r="I272" s="9">
        <v>156575</v>
      </c>
      <c r="J272" s="1" t="s">
        <v>412</v>
      </c>
      <c r="K272" s="1" t="s">
        <v>413</v>
      </c>
    </row>
    <row r="273" spans="1:11" x14ac:dyDescent="0.2">
      <c r="A273" s="2" t="s">
        <v>922</v>
      </c>
      <c r="B273" t="s">
        <v>724</v>
      </c>
      <c r="C273" s="7">
        <f t="shared" si="8"/>
        <v>0</v>
      </c>
      <c r="D273" s="8">
        <f t="shared" si="9"/>
        <v>0</v>
      </c>
      <c r="E273" s="9"/>
      <c r="F273" s="10"/>
      <c r="G273" s="10"/>
      <c r="H273" s="10"/>
      <c r="I273" s="9">
        <v>84523</v>
      </c>
      <c r="J273" s="1" t="s">
        <v>533</v>
      </c>
      <c r="K273" s="1"/>
    </row>
    <row r="274" spans="1:11" x14ac:dyDescent="0.2">
      <c r="A274" s="2" t="s">
        <v>883</v>
      </c>
      <c r="B274" t="s">
        <v>724</v>
      </c>
      <c r="C274" s="7">
        <f t="shared" si="8"/>
        <v>0</v>
      </c>
      <c r="D274" s="8">
        <f t="shared" si="9"/>
        <v>0</v>
      </c>
      <c r="E274" s="9"/>
      <c r="F274" s="10"/>
      <c r="G274" s="10"/>
      <c r="H274" s="10"/>
      <c r="I274" s="9">
        <v>127741</v>
      </c>
      <c r="J274" s="1" t="s">
        <v>465</v>
      </c>
      <c r="K274" s="1"/>
    </row>
    <row r="275" spans="1:11" x14ac:dyDescent="0.2">
      <c r="A275" s="6" t="s">
        <v>1032</v>
      </c>
      <c r="B275" t="s">
        <v>614</v>
      </c>
      <c r="C275" s="7">
        <f t="shared" si="8"/>
        <v>0</v>
      </c>
      <c r="D275" s="8">
        <f t="shared" si="9"/>
        <v>0</v>
      </c>
      <c r="E275" s="9"/>
      <c r="F275" s="10"/>
      <c r="G275" s="10"/>
      <c r="H275" s="10"/>
      <c r="I275" s="9">
        <v>183040</v>
      </c>
      <c r="J275" s="1" t="s">
        <v>370</v>
      </c>
      <c r="K275" s="1" t="s">
        <v>139</v>
      </c>
    </row>
    <row r="276" spans="1:11" x14ac:dyDescent="0.2">
      <c r="A276" s="2" t="s">
        <v>982</v>
      </c>
      <c r="B276" t="s">
        <v>614</v>
      </c>
      <c r="C276" s="7">
        <f t="shared" si="8"/>
        <v>0</v>
      </c>
      <c r="D276" s="8">
        <f t="shared" si="9"/>
        <v>0</v>
      </c>
      <c r="E276" s="9"/>
      <c r="F276" s="10"/>
      <c r="G276" s="10"/>
      <c r="H276" s="10"/>
      <c r="I276" s="9">
        <v>393812</v>
      </c>
      <c r="J276" s="1" t="s">
        <v>229</v>
      </c>
      <c r="K276" s="1" t="s">
        <v>230</v>
      </c>
    </row>
    <row r="277" spans="1:11" x14ac:dyDescent="0.2">
      <c r="A277" s="6" t="s">
        <v>1077</v>
      </c>
      <c r="B277" t="s">
        <v>614</v>
      </c>
      <c r="C277" s="7">
        <f t="shared" si="8"/>
        <v>0</v>
      </c>
      <c r="D277" s="8">
        <f t="shared" si="9"/>
        <v>0</v>
      </c>
      <c r="E277" s="9"/>
      <c r="F277" s="10"/>
      <c r="G277" s="10"/>
      <c r="H277" s="10"/>
      <c r="I277" s="9">
        <v>120338</v>
      </c>
      <c r="J277" s="1" t="s">
        <v>479</v>
      </c>
      <c r="K277" s="1"/>
    </row>
    <row r="278" spans="1:11" x14ac:dyDescent="0.2">
      <c r="A278" s="2" t="s">
        <v>666</v>
      </c>
      <c r="B278" t="s">
        <v>614</v>
      </c>
      <c r="C278" s="7">
        <f t="shared" si="8"/>
        <v>0</v>
      </c>
      <c r="D278" s="8">
        <f t="shared" si="9"/>
        <v>0</v>
      </c>
      <c r="E278" s="9"/>
      <c r="F278" s="10"/>
      <c r="G278" s="10"/>
      <c r="H278" s="10"/>
      <c r="I278" s="9">
        <v>800722</v>
      </c>
      <c r="J278" s="1" t="s">
        <v>138</v>
      </c>
      <c r="K278" s="1" t="s">
        <v>139</v>
      </c>
    </row>
    <row r="279" spans="1:11" x14ac:dyDescent="0.2">
      <c r="A279" s="6" t="s">
        <v>1037</v>
      </c>
      <c r="B279" t="s">
        <v>614</v>
      </c>
      <c r="C279" s="7">
        <f t="shared" si="8"/>
        <v>0</v>
      </c>
      <c r="D279" s="8">
        <f t="shared" si="9"/>
        <v>0</v>
      </c>
      <c r="E279" s="9"/>
      <c r="F279" s="10"/>
      <c r="G279" s="10"/>
      <c r="H279" s="10"/>
      <c r="I279" s="9">
        <v>180783</v>
      </c>
      <c r="J279" s="1" t="s">
        <v>377</v>
      </c>
      <c r="K279" s="1" t="s">
        <v>378</v>
      </c>
    </row>
    <row r="280" spans="1:11" x14ac:dyDescent="0.2">
      <c r="A280" s="2" t="s">
        <v>984</v>
      </c>
      <c r="B280" t="s">
        <v>614</v>
      </c>
      <c r="C280" s="7">
        <f t="shared" si="8"/>
        <v>0</v>
      </c>
      <c r="D280" s="8">
        <f t="shared" si="9"/>
        <v>0</v>
      </c>
      <c r="E280" s="9"/>
      <c r="F280" s="10"/>
      <c r="G280" s="10"/>
      <c r="H280" s="10"/>
      <c r="I280" s="9">
        <v>373031</v>
      </c>
      <c r="J280" s="1" t="s">
        <v>241</v>
      </c>
      <c r="K280" s="1" t="s">
        <v>38</v>
      </c>
    </row>
    <row r="281" spans="1:11" x14ac:dyDescent="0.2">
      <c r="A281" s="6" t="s">
        <v>1022</v>
      </c>
      <c r="B281" t="s">
        <v>614</v>
      </c>
      <c r="C281" s="7">
        <f t="shared" si="8"/>
        <v>0</v>
      </c>
      <c r="D281" s="8">
        <f t="shared" si="9"/>
        <v>0</v>
      </c>
      <c r="E281" s="9"/>
      <c r="F281" s="10"/>
      <c r="G281" s="10"/>
      <c r="H281" s="10"/>
      <c r="I281" s="9">
        <v>212954</v>
      </c>
      <c r="J281" s="1" t="s">
        <v>340</v>
      </c>
      <c r="K281" s="1"/>
    </row>
    <row r="282" spans="1:11" x14ac:dyDescent="0.2">
      <c r="A282" s="6" t="s">
        <v>1130</v>
      </c>
      <c r="B282" t="s">
        <v>614</v>
      </c>
      <c r="C282" s="7">
        <f t="shared" si="8"/>
        <v>0</v>
      </c>
      <c r="D282" s="8">
        <f t="shared" si="9"/>
        <v>0</v>
      </c>
      <c r="E282" s="9"/>
      <c r="F282" s="10"/>
      <c r="G282" s="10"/>
      <c r="H282" s="10"/>
      <c r="I282" s="9">
        <v>108417</v>
      </c>
      <c r="J282" s="1" t="s">
        <v>498</v>
      </c>
      <c r="K282" s="1" t="s">
        <v>230</v>
      </c>
    </row>
    <row r="283" spans="1:11" x14ac:dyDescent="0.2">
      <c r="A283" s="6" t="s">
        <v>1058</v>
      </c>
      <c r="B283" t="s">
        <v>614</v>
      </c>
      <c r="C283" s="7">
        <f t="shared" si="8"/>
        <v>0</v>
      </c>
      <c r="D283" s="8">
        <f t="shared" si="9"/>
        <v>0</v>
      </c>
      <c r="E283" s="9"/>
      <c r="F283" s="10"/>
      <c r="G283" s="10"/>
      <c r="H283" s="10"/>
      <c r="I283" s="9">
        <v>147114</v>
      </c>
      <c r="J283" s="1" t="s">
        <v>431</v>
      </c>
      <c r="K283" s="1" t="s">
        <v>432</v>
      </c>
    </row>
    <row r="284" spans="1:11" x14ac:dyDescent="0.2">
      <c r="A284" s="2" t="s">
        <v>884</v>
      </c>
      <c r="B284" t="s">
        <v>614</v>
      </c>
      <c r="C284" s="7">
        <f t="shared" si="8"/>
        <v>0</v>
      </c>
      <c r="D284" s="8">
        <f t="shared" si="9"/>
        <v>0</v>
      </c>
      <c r="E284" s="9"/>
      <c r="F284" s="10"/>
      <c r="G284" s="10"/>
      <c r="H284" s="10"/>
      <c r="I284" s="9">
        <v>480522</v>
      </c>
      <c r="J284" s="1" t="s">
        <v>188</v>
      </c>
      <c r="K284" s="1"/>
    </row>
    <row r="285" spans="1:11" x14ac:dyDescent="0.2">
      <c r="A285" s="2" t="s">
        <v>674</v>
      </c>
      <c r="B285" t="s">
        <v>614</v>
      </c>
      <c r="C285" s="7">
        <f t="shared" si="8"/>
        <v>0</v>
      </c>
      <c r="D285" s="8">
        <f t="shared" si="9"/>
        <v>0</v>
      </c>
      <c r="E285" s="9"/>
      <c r="F285" s="10"/>
      <c r="G285" s="10"/>
      <c r="H285" s="10"/>
      <c r="I285" s="9">
        <v>705187</v>
      </c>
      <c r="J285" s="1" t="s">
        <v>150</v>
      </c>
      <c r="K285" s="1" t="s">
        <v>139</v>
      </c>
    </row>
    <row r="286" spans="1:11" x14ac:dyDescent="0.2">
      <c r="A286" s="2" t="s">
        <v>885</v>
      </c>
      <c r="B286" t="s">
        <v>715</v>
      </c>
      <c r="C286" s="7">
        <f t="shared" si="8"/>
        <v>0</v>
      </c>
      <c r="D286" s="8">
        <f t="shared" si="9"/>
        <v>0</v>
      </c>
      <c r="E286" s="9"/>
      <c r="F286" s="10"/>
      <c r="G286" s="10"/>
      <c r="H286" s="10"/>
      <c r="I286" s="9">
        <v>104184</v>
      </c>
      <c r="J286" s="1" t="s">
        <v>507</v>
      </c>
      <c r="K286" s="1"/>
    </row>
    <row r="287" spans="1:11" x14ac:dyDescent="0.2">
      <c r="A287" s="2" t="s">
        <v>927</v>
      </c>
      <c r="B287" t="s">
        <v>715</v>
      </c>
      <c r="C287" s="7">
        <f t="shared" si="8"/>
        <v>0</v>
      </c>
      <c r="D287" s="8">
        <f t="shared" si="9"/>
        <v>0</v>
      </c>
      <c r="E287" s="9"/>
      <c r="F287" s="10"/>
      <c r="G287" s="10"/>
      <c r="H287" s="10"/>
      <c r="I287" s="9">
        <v>75938</v>
      </c>
      <c r="J287" s="1" t="s">
        <v>540</v>
      </c>
      <c r="K287" s="1"/>
    </row>
    <row r="288" spans="1:11" x14ac:dyDescent="0.2">
      <c r="A288" s="2" t="s">
        <v>886</v>
      </c>
      <c r="B288" t="s">
        <v>638</v>
      </c>
      <c r="C288" s="7">
        <f t="shared" si="8"/>
        <v>0</v>
      </c>
      <c r="D288" s="8">
        <f t="shared" si="9"/>
        <v>0</v>
      </c>
      <c r="E288" s="9"/>
      <c r="F288" s="10"/>
      <c r="G288" s="10"/>
      <c r="H288" s="10"/>
      <c r="I288" s="9">
        <v>77278</v>
      </c>
      <c r="J288" s="1" t="s">
        <v>539</v>
      </c>
      <c r="K288" s="1"/>
    </row>
    <row r="289" spans="1:11" x14ac:dyDescent="0.2">
      <c r="A289" s="6" t="s">
        <v>1169</v>
      </c>
      <c r="B289" t="s">
        <v>703</v>
      </c>
      <c r="C289" s="7">
        <f t="shared" si="8"/>
        <v>0</v>
      </c>
      <c r="D289" s="8">
        <f t="shared" si="9"/>
        <v>0</v>
      </c>
      <c r="I289" s="11">
        <v>93875</v>
      </c>
      <c r="J289" s="1" t="s">
        <v>1170</v>
      </c>
      <c r="K289" t="s">
        <v>17</v>
      </c>
    </row>
    <row r="290" spans="1:11" x14ac:dyDescent="0.2">
      <c r="A290" s="2" t="s">
        <v>928</v>
      </c>
      <c r="B290" t="s">
        <v>703</v>
      </c>
      <c r="C290" s="7">
        <f t="shared" si="8"/>
        <v>0</v>
      </c>
      <c r="D290" s="8">
        <f t="shared" si="9"/>
        <v>0</v>
      </c>
      <c r="E290" s="9"/>
      <c r="F290" s="10"/>
      <c r="G290" s="10"/>
      <c r="H290" s="10"/>
      <c r="I290" s="9">
        <v>155678</v>
      </c>
      <c r="J290" s="1" t="s">
        <v>419</v>
      </c>
      <c r="K290" s="1" t="s">
        <v>17</v>
      </c>
    </row>
    <row r="291" spans="1:11" x14ac:dyDescent="0.2">
      <c r="A291" s="2" t="s">
        <v>929</v>
      </c>
      <c r="B291" t="s">
        <v>649</v>
      </c>
      <c r="C291" s="7">
        <f t="shared" si="8"/>
        <v>0</v>
      </c>
      <c r="D291" s="8">
        <f t="shared" si="9"/>
        <v>0</v>
      </c>
      <c r="E291" s="9"/>
      <c r="F291" s="10"/>
      <c r="G291" s="10"/>
      <c r="H291" s="10"/>
      <c r="I291" s="9">
        <v>120817</v>
      </c>
      <c r="J291" s="1" t="s">
        <v>478</v>
      </c>
      <c r="K291" s="1"/>
    </row>
    <row r="292" spans="1:11" x14ac:dyDescent="0.2">
      <c r="A292" s="2" t="s">
        <v>888</v>
      </c>
      <c r="B292" t="s">
        <v>649</v>
      </c>
      <c r="C292" s="7">
        <f t="shared" si="8"/>
        <v>0</v>
      </c>
      <c r="D292" s="8">
        <f t="shared" si="9"/>
        <v>0</v>
      </c>
      <c r="E292" s="9"/>
      <c r="F292" s="10"/>
      <c r="G292" s="10"/>
      <c r="H292" s="10"/>
      <c r="I292" s="9">
        <v>229366</v>
      </c>
      <c r="J292" s="1" t="s">
        <v>326</v>
      </c>
      <c r="K292" s="1" t="s">
        <v>125</v>
      </c>
    </row>
    <row r="293" spans="1:11" x14ac:dyDescent="0.2">
      <c r="A293" s="2" t="s">
        <v>690</v>
      </c>
      <c r="B293" t="s">
        <v>618</v>
      </c>
      <c r="C293" s="7">
        <f t="shared" si="8"/>
        <v>0</v>
      </c>
      <c r="D293" s="8">
        <f t="shared" si="9"/>
        <v>0</v>
      </c>
      <c r="E293" s="9"/>
      <c r="F293" s="10"/>
      <c r="G293" s="10"/>
      <c r="I293" s="9">
        <v>575110</v>
      </c>
      <c r="J293" s="1" t="s">
        <v>171</v>
      </c>
      <c r="K293" s="1" t="s">
        <v>172</v>
      </c>
    </row>
    <row r="294" spans="1:11" x14ac:dyDescent="0.2">
      <c r="A294" s="2" t="s">
        <v>1010</v>
      </c>
      <c r="B294" t="s">
        <v>588</v>
      </c>
      <c r="C294" s="7">
        <f t="shared" si="8"/>
        <v>0</v>
      </c>
      <c r="D294" s="8">
        <f t="shared" si="9"/>
        <v>0</v>
      </c>
      <c r="E294" s="9"/>
      <c r="F294" s="10"/>
      <c r="G294" s="10"/>
      <c r="H294" s="10"/>
      <c r="I294" s="9">
        <v>243971</v>
      </c>
      <c r="J294" s="1" t="s">
        <v>308</v>
      </c>
      <c r="K294" s="1"/>
    </row>
    <row r="295" spans="1:11" x14ac:dyDescent="0.2">
      <c r="A295" s="6" t="s">
        <v>1102</v>
      </c>
      <c r="B295" t="s">
        <v>588</v>
      </c>
      <c r="C295" s="7">
        <f t="shared" si="8"/>
        <v>0</v>
      </c>
      <c r="D295" s="8">
        <f t="shared" si="9"/>
        <v>0</v>
      </c>
      <c r="E295" s="9"/>
      <c r="F295" s="10"/>
      <c r="G295" s="10"/>
      <c r="H295" s="10"/>
      <c r="I295" s="9">
        <v>81115</v>
      </c>
      <c r="J295" s="1" t="s">
        <v>536</v>
      </c>
      <c r="K295" s="1" t="s">
        <v>537</v>
      </c>
    </row>
    <row r="296" spans="1:11" x14ac:dyDescent="0.2">
      <c r="A296" s="6" t="s">
        <v>1073</v>
      </c>
      <c r="B296" t="s">
        <v>588</v>
      </c>
      <c r="C296" s="7">
        <f t="shared" si="8"/>
        <v>0</v>
      </c>
      <c r="D296" s="8">
        <f t="shared" si="9"/>
        <v>0</v>
      </c>
      <c r="E296" s="9"/>
      <c r="F296" s="10"/>
      <c r="G296" s="10"/>
      <c r="H296" s="10"/>
      <c r="I296" s="9">
        <v>125127</v>
      </c>
      <c r="J296" s="1" t="s">
        <v>472</v>
      </c>
      <c r="K296" s="1" t="s">
        <v>118</v>
      </c>
    </row>
    <row r="297" spans="1:11" x14ac:dyDescent="0.2">
      <c r="A297" s="6" t="s">
        <v>1087</v>
      </c>
      <c r="B297" t="s">
        <v>588</v>
      </c>
      <c r="C297" s="7">
        <f t="shared" si="8"/>
        <v>0</v>
      </c>
      <c r="D297" s="8">
        <f t="shared" si="9"/>
        <v>0</v>
      </c>
      <c r="E297" s="9"/>
      <c r="F297" s="10"/>
      <c r="G297" s="10"/>
      <c r="H297" s="10"/>
      <c r="I297" s="9">
        <v>105602</v>
      </c>
      <c r="J297" s="1" t="s">
        <v>501</v>
      </c>
      <c r="K297" s="1" t="s">
        <v>502</v>
      </c>
    </row>
    <row r="298" spans="1:11" x14ac:dyDescent="0.2">
      <c r="A298" s="6" t="s">
        <v>1033</v>
      </c>
      <c r="B298" t="s">
        <v>588</v>
      </c>
      <c r="C298" s="7">
        <f t="shared" si="8"/>
        <v>0</v>
      </c>
      <c r="D298" s="8">
        <f t="shared" si="9"/>
        <v>0</v>
      </c>
      <c r="E298" s="9"/>
      <c r="F298" s="10"/>
      <c r="G298" s="10"/>
      <c r="H298" s="10"/>
      <c r="I298" s="9">
        <v>182977</v>
      </c>
      <c r="J298" s="1" t="s">
        <v>371</v>
      </c>
      <c r="K298" s="1" t="s">
        <v>1</v>
      </c>
    </row>
    <row r="299" spans="1:11" x14ac:dyDescent="0.2">
      <c r="A299" s="2" t="s">
        <v>672</v>
      </c>
      <c r="B299" t="s">
        <v>588</v>
      </c>
      <c r="C299" s="7">
        <f t="shared" si="8"/>
        <v>0</v>
      </c>
      <c r="D299" s="8">
        <f t="shared" si="9"/>
        <v>0</v>
      </c>
      <c r="E299" s="9"/>
      <c r="F299" s="10"/>
      <c r="G299" s="10"/>
      <c r="H299" s="10"/>
      <c r="I299" s="9">
        <v>711730</v>
      </c>
      <c r="J299" s="1" t="s">
        <v>147</v>
      </c>
      <c r="K299" s="1" t="s">
        <v>1</v>
      </c>
    </row>
    <row r="300" spans="1:11" x14ac:dyDescent="0.2">
      <c r="A300" s="2" t="s">
        <v>678</v>
      </c>
      <c r="B300" t="s">
        <v>588</v>
      </c>
      <c r="C300" s="7">
        <f t="shared" si="8"/>
        <v>0</v>
      </c>
      <c r="D300" s="8">
        <f t="shared" si="9"/>
        <v>0</v>
      </c>
      <c r="E300" s="9"/>
      <c r="F300" s="10"/>
      <c r="G300" s="10"/>
      <c r="H300" s="10"/>
      <c r="I300" s="9">
        <v>655189</v>
      </c>
      <c r="J300" s="1" t="s">
        <v>156</v>
      </c>
      <c r="K300" s="1" t="s">
        <v>157</v>
      </c>
    </row>
    <row r="301" spans="1:11" x14ac:dyDescent="0.2">
      <c r="A301" s="2" t="s">
        <v>995</v>
      </c>
      <c r="B301" t="s">
        <v>588</v>
      </c>
      <c r="C301" s="7">
        <f t="shared" si="8"/>
        <v>0</v>
      </c>
      <c r="D301" s="8">
        <f t="shared" si="9"/>
        <v>0</v>
      </c>
      <c r="E301" s="9"/>
      <c r="F301" s="10"/>
      <c r="G301" s="10"/>
      <c r="H301" s="10"/>
      <c r="I301" s="9">
        <v>287932</v>
      </c>
      <c r="J301" s="1" t="s">
        <v>276</v>
      </c>
      <c r="K301" s="1"/>
    </row>
    <row r="302" spans="1:11" x14ac:dyDescent="0.2">
      <c r="A302" s="6" t="s">
        <v>1128</v>
      </c>
      <c r="B302" t="s">
        <v>588</v>
      </c>
      <c r="C302" s="7">
        <f t="shared" si="8"/>
        <v>0</v>
      </c>
      <c r="D302" s="8">
        <f t="shared" si="9"/>
        <v>0</v>
      </c>
      <c r="E302" s="9"/>
      <c r="F302" s="10"/>
      <c r="G302" s="10"/>
      <c r="H302" s="10"/>
      <c r="I302" s="9">
        <v>113140</v>
      </c>
      <c r="J302" s="1" t="s">
        <v>493</v>
      </c>
      <c r="K302" s="1"/>
    </row>
    <row r="303" spans="1:11" x14ac:dyDescent="0.2">
      <c r="A303" s="2" t="s">
        <v>675</v>
      </c>
      <c r="B303" t="s">
        <v>619</v>
      </c>
      <c r="C303" s="7">
        <f t="shared" si="8"/>
        <v>0</v>
      </c>
      <c r="D303" s="8">
        <f t="shared" si="9"/>
        <v>0</v>
      </c>
      <c r="E303" s="9"/>
      <c r="F303" s="10"/>
      <c r="G303" s="10"/>
      <c r="H303" s="10"/>
      <c r="I303" s="9">
        <v>702209</v>
      </c>
      <c r="J303" s="1" t="s">
        <v>151</v>
      </c>
      <c r="K303" s="1" t="s">
        <v>62</v>
      </c>
    </row>
    <row r="304" spans="1:11" x14ac:dyDescent="0.2">
      <c r="A304" s="2" t="s">
        <v>979</v>
      </c>
      <c r="B304" t="s">
        <v>619</v>
      </c>
      <c r="C304" s="7">
        <f t="shared" si="8"/>
        <v>0</v>
      </c>
      <c r="D304" s="8">
        <f t="shared" si="9"/>
        <v>0</v>
      </c>
      <c r="E304" s="9"/>
      <c r="F304" s="10"/>
      <c r="G304" s="10"/>
      <c r="H304" s="10"/>
      <c r="I304" s="9">
        <v>400551</v>
      </c>
      <c r="J304" s="1" t="s">
        <v>224</v>
      </c>
      <c r="K304" s="1" t="s">
        <v>62</v>
      </c>
    </row>
    <row r="305" spans="1:11" x14ac:dyDescent="0.2">
      <c r="A305" s="2" t="s">
        <v>664</v>
      </c>
      <c r="B305" t="s">
        <v>619</v>
      </c>
      <c r="C305" s="7">
        <f t="shared" si="8"/>
        <v>0</v>
      </c>
      <c r="D305" s="8">
        <f t="shared" si="9"/>
        <v>0</v>
      </c>
      <c r="E305" s="9"/>
      <c r="F305" s="10"/>
      <c r="G305" s="10"/>
      <c r="H305" s="10"/>
      <c r="I305" s="9">
        <v>821740</v>
      </c>
      <c r="J305" s="1" t="s">
        <v>135</v>
      </c>
      <c r="K305" s="1" t="s">
        <v>136</v>
      </c>
    </row>
    <row r="306" spans="1:11" x14ac:dyDescent="0.2">
      <c r="A306" s="6" t="s">
        <v>1092</v>
      </c>
      <c r="B306" t="s">
        <v>619</v>
      </c>
      <c r="C306" s="7">
        <f t="shared" si="8"/>
        <v>0</v>
      </c>
      <c r="D306" s="8">
        <f t="shared" si="9"/>
        <v>0</v>
      </c>
      <c r="E306" s="9"/>
      <c r="F306" s="10"/>
      <c r="G306" s="10"/>
      <c r="H306" s="10"/>
      <c r="I306" s="9">
        <v>100866</v>
      </c>
      <c r="J306" s="1" t="s">
        <v>514</v>
      </c>
      <c r="K306" s="1" t="s">
        <v>515</v>
      </c>
    </row>
    <row r="307" spans="1:11" x14ac:dyDescent="0.2">
      <c r="A307" s="6" t="s">
        <v>1074</v>
      </c>
      <c r="B307" t="s">
        <v>619</v>
      </c>
      <c r="C307" s="7">
        <f t="shared" si="8"/>
        <v>0</v>
      </c>
      <c r="D307" s="8">
        <f t="shared" si="9"/>
        <v>0</v>
      </c>
      <c r="E307" s="9"/>
      <c r="F307" s="10"/>
      <c r="G307" s="10"/>
      <c r="H307" s="10"/>
      <c r="I307" s="9">
        <v>124853</v>
      </c>
      <c r="J307" s="1" t="s">
        <v>473</v>
      </c>
      <c r="K307" s="1" t="s">
        <v>474</v>
      </c>
    </row>
    <row r="308" spans="1:11" x14ac:dyDescent="0.2">
      <c r="A308" s="6" t="s">
        <v>1080</v>
      </c>
      <c r="B308" t="s">
        <v>619</v>
      </c>
      <c r="C308" s="7">
        <f t="shared" si="8"/>
        <v>0</v>
      </c>
      <c r="D308" s="8">
        <f t="shared" si="9"/>
        <v>0</v>
      </c>
      <c r="E308" s="9"/>
      <c r="F308" s="10"/>
      <c r="G308" s="10"/>
      <c r="H308" s="10"/>
      <c r="I308" s="9">
        <v>113533</v>
      </c>
      <c r="J308" s="1" t="s">
        <v>489</v>
      </c>
      <c r="K308" s="1" t="s">
        <v>62</v>
      </c>
    </row>
    <row r="309" spans="1:11" x14ac:dyDescent="0.2">
      <c r="A309" s="6" t="s">
        <v>1065</v>
      </c>
      <c r="B309" t="s">
        <v>619</v>
      </c>
      <c r="C309" s="7">
        <f t="shared" si="8"/>
        <v>0</v>
      </c>
      <c r="D309" s="8">
        <f t="shared" si="9"/>
        <v>0</v>
      </c>
      <c r="E309" s="9"/>
      <c r="F309" s="10"/>
      <c r="G309" s="10"/>
      <c r="H309" s="10"/>
      <c r="I309" s="9">
        <v>134985</v>
      </c>
      <c r="J309" s="1" t="s">
        <v>450</v>
      </c>
      <c r="K309" s="1" t="s">
        <v>136</v>
      </c>
    </row>
    <row r="310" spans="1:11" x14ac:dyDescent="0.2">
      <c r="A310" s="2" t="s">
        <v>687</v>
      </c>
      <c r="B310" t="s">
        <v>619</v>
      </c>
      <c r="C310" s="7">
        <f t="shared" si="8"/>
        <v>0</v>
      </c>
      <c r="D310" s="8">
        <f t="shared" si="9"/>
        <v>0</v>
      </c>
      <c r="E310" s="9"/>
      <c r="F310" s="10"/>
      <c r="G310" s="10"/>
      <c r="H310" s="10"/>
      <c r="I310" s="9">
        <v>601396</v>
      </c>
      <c r="J310" s="1" t="s">
        <v>167</v>
      </c>
      <c r="K310" s="1"/>
    </row>
    <row r="311" spans="1:11" x14ac:dyDescent="0.2">
      <c r="A311" s="2" t="s">
        <v>976</v>
      </c>
      <c r="B311" t="s">
        <v>619</v>
      </c>
      <c r="C311" s="7">
        <f t="shared" si="8"/>
        <v>0</v>
      </c>
      <c r="D311" s="8">
        <f t="shared" si="9"/>
        <v>0</v>
      </c>
      <c r="E311" s="9"/>
      <c r="F311" s="10"/>
      <c r="G311" s="10"/>
      <c r="H311" s="10"/>
      <c r="I311" s="9">
        <v>426086</v>
      </c>
      <c r="J311" s="1" t="s">
        <v>211</v>
      </c>
      <c r="K311" s="1" t="s">
        <v>212</v>
      </c>
    </row>
    <row r="312" spans="1:11" x14ac:dyDescent="0.2">
      <c r="A312" s="2" t="s">
        <v>930</v>
      </c>
      <c r="B312" t="s">
        <v>625</v>
      </c>
      <c r="C312" s="7">
        <f t="shared" si="8"/>
        <v>0</v>
      </c>
      <c r="D312" s="8">
        <f t="shared" si="9"/>
        <v>0</v>
      </c>
      <c r="E312" s="9"/>
      <c r="F312" s="10"/>
      <c r="G312" s="10"/>
      <c r="H312" s="10"/>
      <c r="I312" s="9">
        <v>62007</v>
      </c>
      <c r="J312" s="1" t="s">
        <v>544</v>
      </c>
      <c r="K312" s="1"/>
    </row>
    <row r="313" spans="1:11" x14ac:dyDescent="0.2">
      <c r="A313" s="2" t="s">
        <v>889</v>
      </c>
      <c r="B313" t="s">
        <v>625</v>
      </c>
      <c r="C313" s="7">
        <f t="shared" si="8"/>
        <v>0</v>
      </c>
      <c r="D313" s="8">
        <f t="shared" si="9"/>
        <v>0</v>
      </c>
      <c r="E313" s="9"/>
      <c r="F313" s="10"/>
      <c r="G313" s="10"/>
      <c r="H313" s="10"/>
      <c r="I313" s="9">
        <v>126899</v>
      </c>
      <c r="J313" s="1" t="s">
        <v>469</v>
      </c>
      <c r="K313" s="1" t="s">
        <v>470</v>
      </c>
    </row>
    <row r="314" spans="1:11" x14ac:dyDescent="0.2">
      <c r="A314" s="6" t="s">
        <v>1068</v>
      </c>
      <c r="B314" t="s">
        <v>617</v>
      </c>
      <c r="C314" s="7">
        <f t="shared" si="8"/>
        <v>0</v>
      </c>
      <c r="D314" s="8">
        <f t="shared" si="9"/>
        <v>0</v>
      </c>
      <c r="E314" s="9"/>
      <c r="F314" s="10"/>
      <c r="G314" s="10"/>
      <c r="H314" s="10"/>
      <c r="I314" s="9">
        <v>132474</v>
      </c>
      <c r="J314" s="1" t="s">
        <v>455</v>
      </c>
      <c r="K314" s="1" t="s">
        <v>46</v>
      </c>
    </row>
    <row r="315" spans="1:11" x14ac:dyDescent="0.2">
      <c r="A315" s="2" t="s">
        <v>1006</v>
      </c>
      <c r="B315" t="s">
        <v>617</v>
      </c>
      <c r="C315" s="7">
        <f t="shared" si="8"/>
        <v>0</v>
      </c>
      <c r="D315" s="8">
        <f t="shared" si="9"/>
        <v>0</v>
      </c>
      <c r="E315" s="9"/>
      <c r="F315" s="10"/>
      <c r="G315" s="10"/>
      <c r="H315" s="10"/>
      <c r="I315" s="9">
        <v>264407</v>
      </c>
      <c r="J315" s="1" t="s">
        <v>299</v>
      </c>
      <c r="K315" s="1"/>
    </row>
    <row r="316" spans="1:11" x14ac:dyDescent="0.2">
      <c r="A316" s="6" t="s">
        <v>1096</v>
      </c>
      <c r="B316" t="s">
        <v>617</v>
      </c>
      <c r="C316" s="7">
        <f t="shared" si="8"/>
        <v>0</v>
      </c>
      <c r="D316" s="8">
        <f t="shared" si="9"/>
        <v>0</v>
      </c>
      <c r="E316" s="9"/>
      <c r="F316" s="10"/>
      <c r="G316" s="10"/>
      <c r="H316" s="10"/>
      <c r="I316" s="9">
        <v>98899</v>
      </c>
      <c r="J316" s="1" t="s">
        <v>522</v>
      </c>
      <c r="K316" s="1" t="s">
        <v>46</v>
      </c>
    </row>
    <row r="317" spans="1:11" x14ac:dyDescent="0.2">
      <c r="A317" s="2" t="s">
        <v>890</v>
      </c>
      <c r="B317" t="s">
        <v>617</v>
      </c>
      <c r="C317" s="7">
        <f t="shared" si="8"/>
        <v>0</v>
      </c>
      <c r="D317" s="8">
        <f t="shared" si="9"/>
        <v>0</v>
      </c>
      <c r="E317" s="9"/>
      <c r="F317" s="10"/>
      <c r="G317" s="10"/>
      <c r="H317" s="10"/>
      <c r="I317" s="9">
        <v>382396</v>
      </c>
      <c r="J317" s="1" t="s">
        <v>236</v>
      </c>
      <c r="K317" s="1"/>
    </row>
    <row r="318" spans="1:11" x14ac:dyDescent="0.2">
      <c r="A318" s="2" t="s">
        <v>1020</v>
      </c>
      <c r="B318" t="s">
        <v>617</v>
      </c>
      <c r="C318" s="7">
        <f t="shared" si="8"/>
        <v>0</v>
      </c>
      <c r="D318" s="8">
        <f t="shared" si="9"/>
        <v>0</v>
      </c>
      <c r="E318" s="9"/>
      <c r="F318" s="10"/>
      <c r="G318" s="10"/>
      <c r="H318" s="10"/>
      <c r="I318" s="9">
        <v>221331</v>
      </c>
      <c r="J318" s="1" t="s">
        <v>334</v>
      </c>
      <c r="K318" s="1" t="s">
        <v>335</v>
      </c>
    </row>
    <row r="319" spans="1:11" x14ac:dyDescent="0.2">
      <c r="A319" s="6" t="s">
        <v>1078</v>
      </c>
      <c r="B319" t="s">
        <v>604</v>
      </c>
      <c r="C319" s="7">
        <f t="shared" si="8"/>
        <v>0</v>
      </c>
      <c r="D319" s="8">
        <f t="shared" si="9"/>
        <v>0</v>
      </c>
      <c r="E319" s="9"/>
      <c r="F319" s="10"/>
      <c r="G319" s="10"/>
      <c r="H319" s="10"/>
      <c r="I319" s="9">
        <v>120269</v>
      </c>
      <c r="J319" s="1" t="s">
        <v>480</v>
      </c>
      <c r="K319" s="1" t="s">
        <v>481</v>
      </c>
    </row>
    <row r="320" spans="1:11" x14ac:dyDescent="0.2">
      <c r="A320" s="6" t="s">
        <v>1051</v>
      </c>
      <c r="B320" t="s">
        <v>604</v>
      </c>
      <c r="C320" s="7">
        <f t="shared" si="8"/>
        <v>0</v>
      </c>
      <c r="D320" s="8">
        <f t="shared" si="9"/>
        <v>0</v>
      </c>
      <c r="E320" s="9"/>
      <c r="F320" s="10"/>
      <c r="G320" s="10"/>
      <c r="H320" s="10"/>
      <c r="I320" s="9">
        <v>159285</v>
      </c>
      <c r="J320" s="1" t="s">
        <v>408</v>
      </c>
      <c r="K320" s="1" t="s">
        <v>13</v>
      </c>
    </row>
    <row r="321" spans="1:11" x14ac:dyDescent="0.2">
      <c r="A321" s="2" t="s">
        <v>1003</v>
      </c>
      <c r="B321" t="s">
        <v>604</v>
      </c>
      <c r="C321" s="7">
        <f t="shared" si="8"/>
        <v>0</v>
      </c>
      <c r="D321" s="8">
        <f t="shared" si="9"/>
        <v>0</v>
      </c>
      <c r="E321" s="9"/>
      <c r="F321" s="10"/>
      <c r="G321" s="10"/>
      <c r="H321" s="10"/>
      <c r="I321" s="9">
        <v>267750</v>
      </c>
      <c r="J321" s="1" t="s">
        <v>294</v>
      </c>
      <c r="K321" s="1" t="s">
        <v>295</v>
      </c>
    </row>
    <row r="322" spans="1:11" x14ac:dyDescent="0.2">
      <c r="A322" s="6" t="s">
        <v>1085</v>
      </c>
      <c r="B322" t="s">
        <v>604</v>
      </c>
      <c r="C322" s="7">
        <f t="shared" ref="C322:C385" si="10">INT(NOT(AND(ISBLANK(E322),ISBLANK(F322),ISBLANK(G322),ISBLANK(H322))))</f>
        <v>0</v>
      </c>
      <c r="D322" s="8">
        <f t="shared" ref="D322:D385" si="11">4-(ISBLANK(E322)+ISBLANK(F322)+ISBLANK(G322)+ISBLANK(H322))</f>
        <v>0</v>
      </c>
      <c r="E322" s="9"/>
      <c r="F322" s="10"/>
      <c r="G322" s="10"/>
      <c r="H322" s="10"/>
      <c r="I322" s="9">
        <v>107914</v>
      </c>
      <c r="J322" s="1" t="s">
        <v>499</v>
      </c>
      <c r="K322" s="1" t="s">
        <v>161</v>
      </c>
    </row>
    <row r="323" spans="1:11" x14ac:dyDescent="0.2">
      <c r="A323" s="6" t="s">
        <v>1070</v>
      </c>
      <c r="B323" t="s">
        <v>604</v>
      </c>
      <c r="C323" s="7">
        <f t="shared" si="10"/>
        <v>0</v>
      </c>
      <c r="D323" s="8">
        <f t="shared" si="11"/>
        <v>0</v>
      </c>
      <c r="E323" s="9"/>
      <c r="F323" s="10"/>
      <c r="G323" s="10"/>
      <c r="H323" s="10"/>
      <c r="I323" s="9">
        <v>130108</v>
      </c>
      <c r="J323" s="1" t="s">
        <v>459</v>
      </c>
      <c r="K323" s="1" t="s">
        <v>460</v>
      </c>
    </row>
    <row r="324" spans="1:11" x14ac:dyDescent="0.2">
      <c r="A324" s="2" t="s">
        <v>694</v>
      </c>
      <c r="B324" t="s">
        <v>604</v>
      </c>
      <c r="C324" s="7">
        <f t="shared" si="10"/>
        <v>0</v>
      </c>
      <c r="D324" s="8">
        <f t="shared" si="11"/>
        <v>0</v>
      </c>
      <c r="E324" s="9"/>
      <c r="F324" s="10"/>
      <c r="G324" s="10"/>
      <c r="H324" s="10"/>
      <c r="I324" s="9">
        <v>563293</v>
      </c>
      <c r="J324" s="1" t="s">
        <v>176</v>
      </c>
      <c r="K324" s="1"/>
    </row>
    <row r="325" spans="1:11" x14ac:dyDescent="0.2">
      <c r="A325" s="6" t="s">
        <v>1061</v>
      </c>
      <c r="B325" t="s">
        <v>604</v>
      </c>
      <c r="C325" s="7">
        <f t="shared" si="10"/>
        <v>0</v>
      </c>
      <c r="D325" s="8">
        <f t="shared" si="11"/>
        <v>0</v>
      </c>
      <c r="E325" s="9"/>
      <c r="F325" s="10"/>
      <c r="G325" s="10"/>
      <c r="H325" s="10"/>
      <c r="I325" s="9">
        <v>145319</v>
      </c>
      <c r="J325" s="1" t="s">
        <v>438</v>
      </c>
      <c r="K325" s="1" t="s">
        <v>161</v>
      </c>
    </row>
    <row r="326" spans="1:11" x14ac:dyDescent="0.2">
      <c r="A326" s="2" t="s">
        <v>974</v>
      </c>
      <c r="B326" t="s">
        <v>604</v>
      </c>
      <c r="C326" s="7">
        <f t="shared" si="10"/>
        <v>0</v>
      </c>
      <c r="D326" s="8">
        <f t="shared" si="11"/>
        <v>0</v>
      </c>
      <c r="E326" s="9"/>
      <c r="F326" s="10"/>
      <c r="G326" s="10"/>
      <c r="H326" s="10"/>
      <c r="I326" s="9">
        <v>439117</v>
      </c>
      <c r="J326" s="1" t="s">
        <v>202</v>
      </c>
      <c r="K326" s="1" t="s">
        <v>17</v>
      </c>
    </row>
    <row r="327" spans="1:11" x14ac:dyDescent="0.2">
      <c r="A327" s="2" t="s">
        <v>691</v>
      </c>
      <c r="B327" t="s">
        <v>604</v>
      </c>
      <c r="C327" s="7">
        <f t="shared" si="10"/>
        <v>0</v>
      </c>
      <c r="D327" s="8">
        <f t="shared" si="11"/>
        <v>0</v>
      </c>
      <c r="E327" s="9"/>
      <c r="F327" s="10"/>
      <c r="G327" s="10"/>
      <c r="H327" s="10"/>
      <c r="I327" s="9">
        <v>574009</v>
      </c>
      <c r="J327" s="1" t="s">
        <v>173</v>
      </c>
      <c r="K327" s="1"/>
    </row>
    <row r="328" spans="1:11" x14ac:dyDescent="0.2">
      <c r="A328" s="6" t="s">
        <v>1050</v>
      </c>
      <c r="B328" t="s">
        <v>604</v>
      </c>
      <c r="C328" s="7">
        <f t="shared" si="10"/>
        <v>0</v>
      </c>
      <c r="D328" s="8">
        <f t="shared" si="11"/>
        <v>0</v>
      </c>
      <c r="E328" s="9"/>
      <c r="F328" s="10"/>
      <c r="G328" s="10"/>
      <c r="H328" s="10"/>
      <c r="I328" s="9">
        <v>159805</v>
      </c>
      <c r="J328" s="1" t="s">
        <v>405</v>
      </c>
      <c r="K328" s="1" t="s">
        <v>406</v>
      </c>
    </row>
    <row r="329" spans="1:11" x14ac:dyDescent="0.2">
      <c r="A329" s="6" t="s">
        <v>1081</v>
      </c>
      <c r="B329" t="s">
        <v>604</v>
      </c>
      <c r="C329" s="7">
        <f t="shared" si="10"/>
        <v>0</v>
      </c>
      <c r="D329" s="8">
        <f t="shared" si="11"/>
        <v>0</v>
      </c>
      <c r="E329" s="9"/>
      <c r="F329" s="10"/>
      <c r="G329" s="10"/>
      <c r="H329" s="10"/>
      <c r="I329" s="9">
        <v>113236</v>
      </c>
      <c r="J329" s="1" t="s">
        <v>491</v>
      </c>
      <c r="K329" s="1" t="s">
        <v>492</v>
      </c>
    </row>
    <row r="330" spans="1:11" x14ac:dyDescent="0.2">
      <c r="A330" s="2" t="s">
        <v>971</v>
      </c>
      <c r="B330" t="s">
        <v>604</v>
      </c>
      <c r="C330" s="7">
        <f t="shared" si="10"/>
        <v>0</v>
      </c>
      <c r="D330" s="8">
        <f t="shared" si="11"/>
        <v>0</v>
      </c>
      <c r="E330" s="9"/>
      <c r="F330" s="10"/>
      <c r="G330" s="10"/>
      <c r="H330" s="10"/>
      <c r="I330" s="9">
        <v>471240</v>
      </c>
      <c r="J330" s="1" t="s">
        <v>191</v>
      </c>
      <c r="K330" s="1" t="s">
        <v>161</v>
      </c>
    </row>
    <row r="331" spans="1:11" x14ac:dyDescent="0.2">
      <c r="A331" s="6" t="s">
        <v>1026</v>
      </c>
      <c r="B331" t="s">
        <v>642</v>
      </c>
      <c r="C331" s="7">
        <f t="shared" si="10"/>
        <v>0</v>
      </c>
      <c r="D331" s="8">
        <f t="shared" si="11"/>
        <v>0</v>
      </c>
      <c r="E331" s="9"/>
      <c r="F331" s="10"/>
      <c r="G331" s="10"/>
      <c r="H331" s="10"/>
      <c r="I331" s="9">
        <v>200474</v>
      </c>
      <c r="J331" s="1" t="s">
        <v>354</v>
      </c>
      <c r="K331" s="1"/>
    </row>
    <row r="332" spans="1:11" x14ac:dyDescent="0.2">
      <c r="A332" s="2" t="s">
        <v>1013</v>
      </c>
      <c r="B332" t="s">
        <v>642</v>
      </c>
      <c r="C332" s="7">
        <f t="shared" si="10"/>
        <v>0</v>
      </c>
      <c r="D332" s="8">
        <f t="shared" si="11"/>
        <v>0</v>
      </c>
      <c r="E332" s="9"/>
      <c r="F332" s="10"/>
      <c r="G332" s="10"/>
      <c r="H332" s="10"/>
      <c r="I332" s="9">
        <v>237393</v>
      </c>
      <c r="J332" s="1" t="s">
        <v>315</v>
      </c>
      <c r="K332" s="1"/>
    </row>
    <row r="333" spans="1:11" x14ac:dyDescent="0.2">
      <c r="A333" s="2" t="s">
        <v>977</v>
      </c>
      <c r="B333" t="s">
        <v>642</v>
      </c>
      <c r="C333" s="7">
        <f t="shared" si="10"/>
        <v>0</v>
      </c>
      <c r="D333" s="8">
        <f t="shared" si="11"/>
        <v>0</v>
      </c>
      <c r="E333" s="9"/>
      <c r="F333" s="10"/>
      <c r="G333" s="10"/>
      <c r="H333" s="10"/>
      <c r="I333" s="9">
        <v>413391</v>
      </c>
      <c r="J333" s="1" t="s">
        <v>218</v>
      </c>
      <c r="K333" s="1" t="s">
        <v>219</v>
      </c>
    </row>
    <row r="334" spans="1:11" x14ac:dyDescent="0.2">
      <c r="A334" s="2" t="s">
        <v>981</v>
      </c>
      <c r="B334" t="s">
        <v>642</v>
      </c>
      <c r="C334" s="7">
        <f t="shared" si="10"/>
        <v>0</v>
      </c>
      <c r="D334" s="8">
        <f t="shared" si="11"/>
        <v>0</v>
      </c>
      <c r="E334" s="9"/>
      <c r="F334" s="10"/>
      <c r="G334" s="10"/>
      <c r="H334" s="10"/>
      <c r="I334" s="9">
        <v>395934</v>
      </c>
      <c r="J334" s="1" t="s">
        <v>228</v>
      </c>
      <c r="K334" s="1" t="s">
        <v>104</v>
      </c>
    </row>
    <row r="335" spans="1:11" x14ac:dyDescent="0.2">
      <c r="A335" s="6" t="s">
        <v>1088</v>
      </c>
      <c r="B335" t="s">
        <v>642</v>
      </c>
      <c r="C335" s="7">
        <f t="shared" si="10"/>
        <v>0</v>
      </c>
      <c r="D335" s="8">
        <f t="shared" si="11"/>
        <v>0</v>
      </c>
      <c r="E335" s="9"/>
      <c r="F335" s="10"/>
      <c r="G335" s="10"/>
      <c r="H335" s="10"/>
      <c r="I335" s="9">
        <v>104776</v>
      </c>
      <c r="J335" s="1" t="s">
        <v>505</v>
      </c>
      <c r="K335" s="1" t="s">
        <v>127</v>
      </c>
    </row>
    <row r="336" spans="1:11" x14ac:dyDescent="0.2">
      <c r="A336" s="2" t="s">
        <v>688</v>
      </c>
      <c r="B336" t="s">
        <v>621</v>
      </c>
      <c r="C336" s="7">
        <f t="shared" si="10"/>
        <v>0</v>
      </c>
      <c r="D336" s="8">
        <f t="shared" si="11"/>
        <v>0</v>
      </c>
      <c r="E336" s="9"/>
      <c r="F336" s="10"/>
      <c r="G336" s="10"/>
      <c r="H336" s="10"/>
      <c r="I336" s="9">
        <v>588050</v>
      </c>
      <c r="J336" s="1" t="s">
        <v>168</v>
      </c>
      <c r="K336" s="1" t="s">
        <v>169</v>
      </c>
    </row>
    <row r="337" spans="1:11" x14ac:dyDescent="0.2">
      <c r="A337" s="2" t="s">
        <v>988</v>
      </c>
      <c r="B337" t="s">
        <v>621</v>
      </c>
      <c r="C337" s="7">
        <f t="shared" si="10"/>
        <v>0</v>
      </c>
      <c r="D337" s="8">
        <f t="shared" si="11"/>
        <v>0</v>
      </c>
      <c r="E337" s="9"/>
      <c r="F337" s="10"/>
      <c r="G337" s="10"/>
      <c r="H337" s="10"/>
      <c r="I337" s="9">
        <v>345955</v>
      </c>
      <c r="J337" s="1" t="s">
        <v>254</v>
      </c>
      <c r="K337" s="1"/>
    </row>
    <row r="338" spans="1:11" x14ac:dyDescent="0.2">
      <c r="A338" s="6" t="s">
        <v>1069</v>
      </c>
      <c r="B338" t="s">
        <v>621</v>
      </c>
      <c r="C338" s="7">
        <f t="shared" si="10"/>
        <v>0</v>
      </c>
      <c r="D338" s="8">
        <f t="shared" si="11"/>
        <v>0</v>
      </c>
      <c r="E338" s="9"/>
      <c r="F338" s="10"/>
      <c r="G338" s="10"/>
      <c r="H338" s="10"/>
      <c r="I338" s="9">
        <v>132120</v>
      </c>
      <c r="J338" s="1" t="s">
        <v>456</v>
      </c>
      <c r="K338" s="1" t="s">
        <v>169</v>
      </c>
    </row>
    <row r="339" spans="1:11" x14ac:dyDescent="0.2">
      <c r="A339" s="6" t="s">
        <v>1031</v>
      </c>
      <c r="B339" t="s">
        <v>621</v>
      </c>
      <c r="C339" s="7">
        <f t="shared" si="10"/>
        <v>0</v>
      </c>
      <c r="D339" s="8">
        <f t="shared" si="11"/>
        <v>0</v>
      </c>
      <c r="E339" s="9"/>
      <c r="F339" s="10"/>
      <c r="G339" s="10"/>
      <c r="H339" s="10"/>
      <c r="I339" s="9">
        <v>183680</v>
      </c>
      <c r="J339" s="1" t="s">
        <v>369</v>
      </c>
      <c r="K339" s="1"/>
    </row>
    <row r="340" spans="1:11" x14ac:dyDescent="0.2">
      <c r="A340" s="6" t="s">
        <v>1021</v>
      </c>
      <c r="B340" t="s">
        <v>621</v>
      </c>
      <c r="C340" s="7">
        <f t="shared" si="10"/>
        <v>0</v>
      </c>
      <c r="D340" s="8">
        <f t="shared" si="11"/>
        <v>0</v>
      </c>
      <c r="E340" s="9"/>
      <c r="F340" s="10"/>
      <c r="G340" s="10"/>
      <c r="H340" s="10"/>
      <c r="I340" s="9">
        <v>214948</v>
      </c>
      <c r="J340" s="1" t="s">
        <v>339</v>
      </c>
      <c r="K340" s="1" t="s">
        <v>268</v>
      </c>
    </row>
    <row r="341" spans="1:11" x14ac:dyDescent="0.2">
      <c r="A341" s="2" t="s">
        <v>991</v>
      </c>
      <c r="B341" t="s">
        <v>621</v>
      </c>
      <c r="C341" s="7">
        <f t="shared" si="10"/>
        <v>0</v>
      </c>
      <c r="D341" s="8">
        <f t="shared" si="11"/>
        <v>0</v>
      </c>
      <c r="E341" s="9"/>
      <c r="F341" s="10"/>
      <c r="G341" s="10"/>
      <c r="H341" s="10"/>
      <c r="I341" s="9">
        <v>313876</v>
      </c>
      <c r="J341" s="1" t="s">
        <v>267</v>
      </c>
      <c r="K341" s="1" t="s">
        <v>268</v>
      </c>
    </row>
    <row r="342" spans="1:11" x14ac:dyDescent="0.2">
      <c r="A342" s="6" t="s">
        <v>1072</v>
      </c>
      <c r="B342" t="s">
        <v>621</v>
      </c>
      <c r="C342" s="7">
        <f t="shared" si="10"/>
        <v>0</v>
      </c>
      <c r="D342" s="8">
        <f t="shared" si="11"/>
        <v>0</v>
      </c>
      <c r="E342" s="9"/>
      <c r="F342" s="10"/>
      <c r="G342" s="10"/>
      <c r="H342" s="10"/>
      <c r="I342" s="9">
        <v>126932</v>
      </c>
      <c r="J342" s="1" t="s">
        <v>468</v>
      </c>
      <c r="K342" s="1" t="s">
        <v>109</v>
      </c>
    </row>
    <row r="343" spans="1:11" x14ac:dyDescent="0.2">
      <c r="A343" s="6" t="s">
        <v>1030</v>
      </c>
      <c r="B343" t="s">
        <v>607</v>
      </c>
      <c r="C343" s="7">
        <f t="shared" si="10"/>
        <v>0</v>
      </c>
      <c r="D343" s="8">
        <f t="shared" si="11"/>
        <v>0</v>
      </c>
      <c r="E343" s="9"/>
      <c r="F343" s="10"/>
      <c r="G343" s="10"/>
      <c r="H343" s="10"/>
      <c r="I343" s="9">
        <v>184278</v>
      </c>
      <c r="J343" s="1" t="s">
        <v>367</v>
      </c>
      <c r="K343" s="1" t="s">
        <v>368</v>
      </c>
    </row>
    <row r="344" spans="1:11" x14ac:dyDescent="0.2">
      <c r="A344" s="2" t="s">
        <v>1000</v>
      </c>
      <c r="B344" t="s">
        <v>607</v>
      </c>
      <c r="C344" s="7">
        <f t="shared" si="10"/>
        <v>0</v>
      </c>
      <c r="D344" s="8">
        <f t="shared" si="11"/>
        <v>0</v>
      </c>
      <c r="E344" s="9"/>
      <c r="F344" s="10"/>
      <c r="G344" s="10"/>
      <c r="H344" s="10"/>
      <c r="I344" s="9">
        <v>274650</v>
      </c>
      <c r="J344" s="1" t="s">
        <v>287</v>
      </c>
      <c r="K344" s="1" t="s">
        <v>288</v>
      </c>
    </row>
    <row r="345" spans="1:11" x14ac:dyDescent="0.2">
      <c r="A345" s="2" t="s">
        <v>980</v>
      </c>
      <c r="B345" t="s">
        <v>607</v>
      </c>
      <c r="C345" s="7">
        <f t="shared" si="10"/>
        <v>0</v>
      </c>
      <c r="D345" s="8">
        <f t="shared" si="11"/>
        <v>0</v>
      </c>
      <c r="E345" s="9"/>
      <c r="F345" s="10"/>
      <c r="G345" s="10"/>
      <c r="H345" s="10"/>
      <c r="I345" s="9">
        <v>398733</v>
      </c>
      <c r="J345" s="1" t="s">
        <v>225</v>
      </c>
      <c r="K345" s="1"/>
    </row>
    <row r="346" spans="1:11" x14ac:dyDescent="0.2">
      <c r="A346" s="2" t="s">
        <v>975</v>
      </c>
      <c r="B346" t="s">
        <v>607</v>
      </c>
      <c r="C346" s="7">
        <f t="shared" si="10"/>
        <v>0</v>
      </c>
      <c r="D346" s="8">
        <f t="shared" si="11"/>
        <v>0</v>
      </c>
      <c r="E346" s="9"/>
      <c r="F346" s="10"/>
      <c r="G346" s="10"/>
      <c r="H346" s="10"/>
      <c r="I346" s="9">
        <v>431874</v>
      </c>
      <c r="J346" s="1" t="s">
        <v>204</v>
      </c>
      <c r="K346" s="1" t="s">
        <v>205</v>
      </c>
    </row>
    <row r="347" spans="1:11" x14ac:dyDescent="0.2">
      <c r="A347" s="2" t="s">
        <v>996</v>
      </c>
      <c r="B347" t="s">
        <v>607</v>
      </c>
      <c r="C347" s="7">
        <f t="shared" si="10"/>
        <v>0</v>
      </c>
      <c r="D347" s="8">
        <f t="shared" si="11"/>
        <v>0</v>
      </c>
      <c r="E347" s="9"/>
      <c r="F347" s="10"/>
      <c r="G347" s="10"/>
      <c r="H347" s="10"/>
      <c r="I347" s="9">
        <v>287462</v>
      </c>
      <c r="J347" s="1" t="s">
        <v>277</v>
      </c>
      <c r="K347" s="1"/>
    </row>
    <row r="348" spans="1:11" x14ac:dyDescent="0.2">
      <c r="A348" s="2" t="s">
        <v>973</v>
      </c>
      <c r="B348" t="s">
        <v>607</v>
      </c>
      <c r="C348" s="7">
        <f t="shared" si="10"/>
        <v>0</v>
      </c>
      <c r="D348" s="8">
        <f t="shared" si="11"/>
        <v>0</v>
      </c>
      <c r="E348" s="9"/>
      <c r="F348" s="10"/>
      <c r="G348" s="10"/>
      <c r="H348" s="10"/>
      <c r="I348" s="9">
        <v>450187</v>
      </c>
      <c r="J348" s="1" t="s">
        <v>198</v>
      </c>
      <c r="K348" s="1" t="s">
        <v>199</v>
      </c>
    </row>
    <row r="349" spans="1:11" x14ac:dyDescent="0.2">
      <c r="A349" s="6" t="s">
        <v>1104</v>
      </c>
      <c r="B349" t="s">
        <v>607</v>
      </c>
      <c r="C349" s="7">
        <f t="shared" si="10"/>
        <v>0</v>
      </c>
      <c r="D349" s="8">
        <f t="shared" si="11"/>
        <v>0</v>
      </c>
      <c r="E349" s="9"/>
      <c r="F349" s="10"/>
      <c r="G349" s="10"/>
      <c r="H349" s="10"/>
      <c r="I349" s="9">
        <v>58829</v>
      </c>
      <c r="J349" s="1" t="s">
        <v>545</v>
      </c>
      <c r="K349" s="1"/>
    </row>
    <row r="350" spans="1:11" x14ac:dyDescent="0.2">
      <c r="A350" s="2" t="s">
        <v>891</v>
      </c>
      <c r="B350" t="s">
        <v>607</v>
      </c>
      <c r="C350" s="7">
        <f t="shared" si="10"/>
        <v>0</v>
      </c>
      <c r="D350" s="8">
        <f t="shared" si="11"/>
        <v>0</v>
      </c>
      <c r="E350" s="9"/>
      <c r="F350" s="10"/>
      <c r="G350" s="10"/>
      <c r="H350" s="10"/>
      <c r="I350" s="9">
        <v>509487</v>
      </c>
      <c r="J350" s="1" t="s">
        <v>184</v>
      </c>
      <c r="K350" s="1"/>
    </row>
    <row r="351" spans="1:11" x14ac:dyDescent="0.2">
      <c r="A351" s="2" t="s">
        <v>1001</v>
      </c>
      <c r="B351" t="s">
        <v>607</v>
      </c>
      <c r="C351" s="7">
        <f t="shared" si="10"/>
        <v>0</v>
      </c>
      <c r="D351" s="8">
        <f t="shared" si="11"/>
        <v>0</v>
      </c>
      <c r="E351" s="9"/>
      <c r="F351" s="10"/>
      <c r="G351" s="10"/>
      <c r="H351" s="10"/>
      <c r="I351" s="9">
        <v>272823</v>
      </c>
      <c r="J351" s="1" t="s">
        <v>289</v>
      </c>
      <c r="K351" s="1"/>
    </row>
    <row r="352" spans="1:11" x14ac:dyDescent="0.2">
      <c r="A352" s="2" t="s">
        <v>994</v>
      </c>
      <c r="B352" t="s">
        <v>607</v>
      </c>
      <c r="C352" s="7">
        <f t="shared" si="10"/>
        <v>0</v>
      </c>
      <c r="D352" s="8">
        <f t="shared" si="11"/>
        <v>0</v>
      </c>
      <c r="E352" s="9"/>
      <c r="F352" s="10"/>
      <c r="G352" s="10"/>
      <c r="H352" s="10"/>
      <c r="I352" s="9">
        <v>295490</v>
      </c>
      <c r="J352" s="1" t="s">
        <v>275</v>
      </c>
      <c r="K352" s="1"/>
    </row>
    <row r="353" spans="1:11" x14ac:dyDescent="0.2">
      <c r="A353" s="2" t="s">
        <v>986</v>
      </c>
      <c r="B353" t="s">
        <v>607</v>
      </c>
      <c r="C353" s="7">
        <f t="shared" si="10"/>
        <v>0</v>
      </c>
      <c r="D353" s="8">
        <f t="shared" si="11"/>
        <v>0</v>
      </c>
      <c r="E353" s="9"/>
      <c r="F353" s="10"/>
      <c r="G353" s="10"/>
      <c r="H353" s="10"/>
      <c r="I353" s="9">
        <v>367109</v>
      </c>
      <c r="J353" s="1" t="s">
        <v>244</v>
      </c>
      <c r="K353" s="1" t="s">
        <v>245</v>
      </c>
    </row>
    <row r="354" spans="1:11" x14ac:dyDescent="0.2">
      <c r="A354" s="2" t="s">
        <v>651</v>
      </c>
      <c r="B354" t="s">
        <v>607</v>
      </c>
      <c r="C354" s="7">
        <f t="shared" si="10"/>
        <v>0</v>
      </c>
      <c r="D354" s="8">
        <f t="shared" si="11"/>
        <v>0</v>
      </c>
      <c r="E354" s="9"/>
      <c r="F354" s="10"/>
      <c r="G354" s="10"/>
      <c r="H354" s="10"/>
      <c r="I354" s="9">
        <v>914820</v>
      </c>
      <c r="J354" s="1" t="s">
        <v>115</v>
      </c>
      <c r="K354" s="1" t="s">
        <v>116</v>
      </c>
    </row>
    <row r="355" spans="1:11" x14ac:dyDescent="0.2">
      <c r="A355" s="6" t="s">
        <v>1027</v>
      </c>
      <c r="B355" t="s">
        <v>607</v>
      </c>
      <c r="C355" s="7">
        <f t="shared" si="10"/>
        <v>0</v>
      </c>
      <c r="D355" s="8">
        <f t="shared" si="11"/>
        <v>0</v>
      </c>
      <c r="E355" s="9"/>
      <c r="F355" s="10"/>
      <c r="G355" s="10"/>
      <c r="H355" s="10"/>
      <c r="I355" s="9">
        <v>188766</v>
      </c>
      <c r="J355" s="1" t="s">
        <v>361</v>
      </c>
      <c r="K355" s="1" t="s">
        <v>362</v>
      </c>
    </row>
    <row r="356" spans="1:11" x14ac:dyDescent="0.2">
      <c r="A356" s="6" t="s">
        <v>1042</v>
      </c>
      <c r="B356" t="s">
        <v>607</v>
      </c>
      <c r="C356" s="7">
        <f t="shared" si="10"/>
        <v>0</v>
      </c>
      <c r="D356" s="8">
        <f t="shared" si="11"/>
        <v>0</v>
      </c>
      <c r="E356" s="9"/>
      <c r="F356" s="10"/>
      <c r="G356" s="10"/>
      <c r="H356" s="10"/>
      <c r="I356" s="9">
        <v>170022</v>
      </c>
      <c r="J356" s="1" t="s">
        <v>392</v>
      </c>
      <c r="K356" s="1" t="s">
        <v>362</v>
      </c>
    </row>
    <row r="357" spans="1:11" x14ac:dyDescent="0.2">
      <c r="A357" s="6" t="s">
        <v>1076</v>
      </c>
      <c r="B357" t="s">
        <v>607</v>
      </c>
      <c r="C357" s="7">
        <f t="shared" si="10"/>
        <v>0</v>
      </c>
      <c r="D357" s="8">
        <f t="shared" si="11"/>
        <v>0</v>
      </c>
      <c r="E357" s="9"/>
      <c r="F357" s="10"/>
      <c r="G357" s="10"/>
      <c r="H357" s="10"/>
      <c r="I357" s="9">
        <v>121629</v>
      </c>
      <c r="J357" s="1" t="s">
        <v>477</v>
      </c>
      <c r="K357" s="1"/>
    </row>
    <row r="358" spans="1:11" x14ac:dyDescent="0.2">
      <c r="A358" s="6" t="s">
        <v>1117</v>
      </c>
      <c r="B358" t="s">
        <v>607</v>
      </c>
      <c r="C358" s="7">
        <f t="shared" si="10"/>
        <v>0</v>
      </c>
      <c r="D358" s="8">
        <f t="shared" si="11"/>
        <v>0</v>
      </c>
      <c r="E358" s="9"/>
      <c r="F358" s="10"/>
      <c r="G358" s="10"/>
      <c r="H358" s="10"/>
      <c r="I358" s="9">
        <v>150532</v>
      </c>
      <c r="J358" s="1" t="s">
        <v>427</v>
      </c>
      <c r="K358" s="1" t="s">
        <v>7</v>
      </c>
    </row>
    <row r="359" spans="1:11" x14ac:dyDescent="0.2">
      <c r="A359" s="6" t="s">
        <v>1120</v>
      </c>
      <c r="B359" t="s">
        <v>607</v>
      </c>
      <c r="C359" s="7">
        <f t="shared" si="10"/>
        <v>0</v>
      </c>
      <c r="D359" s="8">
        <f t="shared" si="11"/>
        <v>0</v>
      </c>
      <c r="E359" s="9"/>
      <c r="F359" s="10"/>
      <c r="G359" s="10"/>
      <c r="H359" s="10"/>
      <c r="I359" s="9">
        <v>145576</v>
      </c>
      <c r="J359" s="1" t="s">
        <v>436</v>
      </c>
      <c r="K359" s="1"/>
    </row>
    <row r="360" spans="1:11" x14ac:dyDescent="0.2">
      <c r="A360" s="2" t="s">
        <v>1009</v>
      </c>
      <c r="B360" t="s">
        <v>607</v>
      </c>
      <c r="C360" s="7">
        <f t="shared" si="10"/>
        <v>0</v>
      </c>
      <c r="D360" s="8">
        <f t="shared" si="11"/>
        <v>0</v>
      </c>
      <c r="E360" s="9"/>
      <c r="F360" s="10"/>
      <c r="G360" s="10"/>
      <c r="H360" s="10"/>
      <c r="I360" s="9">
        <v>249091</v>
      </c>
      <c r="J360" s="1" t="s">
        <v>304</v>
      </c>
      <c r="K360" s="1" t="s">
        <v>305</v>
      </c>
    </row>
    <row r="361" spans="1:11" x14ac:dyDescent="0.2">
      <c r="A361" s="6" t="s">
        <v>1095</v>
      </c>
      <c r="B361" t="s">
        <v>607</v>
      </c>
      <c r="C361" s="7">
        <f t="shared" si="10"/>
        <v>0</v>
      </c>
      <c r="D361" s="8">
        <f t="shared" si="11"/>
        <v>0</v>
      </c>
      <c r="E361" s="9"/>
      <c r="F361" s="10"/>
      <c r="G361" s="10"/>
      <c r="H361" s="10"/>
      <c r="I361" s="9">
        <v>99170</v>
      </c>
      <c r="J361" s="1" t="s">
        <v>520</v>
      </c>
      <c r="K361" s="1" t="s">
        <v>521</v>
      </c>
    </row>
    <row r="362" spans="1:11" x14ac:dyDescent="0.2">
      <c r="A362" s="2" t="s">
        <v>993</v>
      </c>
      <c r="B362" t="s">
        <v>607</v>
      </c>
      <c r="C362" s="7">
        <f t="shared" si="10"/>
        <v>0</v>
      </c>
      <c r="D362" s="8">
        <f t="shared" si="11"/>
        <v>0</v>
      </c>
      <c r="E362" s="9"/>
      <c r="F362" s="10"/>
      <c r="G362" s="10"/>
      <c r="H362" s="10"/>
      <c r="I362" s="9">
        <v>307123</v>
      </c>
      <c r="J362" s="1" t="s">
        <v>272</v>
      </c>
      <c r="K362" s="1"/>
    </row>
    <row r="363" spans="1:11" x14ac:dyDescent="0.2">
      <c r="A363" s="6" t="s">
        <v>1056</v>
      </c>
      <c r="B363" t="s">
        <v>607</v>
      </c>
      <c r="C363" s="7">
        <f t="shared" si="10"/>
        <v>0</v>
      </c>
      <c r="D363" s="8">
        <f t="shared" si="11"/>
        <v>0</v>
      </c>
      <c r="E363" s="9"/>
      <c r="F363" s="10"/>
      <c r="G363" s="10"/>
      <c r="H363" s="10"/>
      <c r="I363" s="9">
        <v>149869</v>
      </c>
      <c r="J363" s="1" t="s">
        <v>428</v>
      </c>
      <c r="K363" s="1"/>
    </row>
    <row r="364" spans="1:11" x14ac:dyDescent="0.2">
      <c r="A364" s="6" t="s">
        <v>1048</v>
      </c>
      <c r="B364" t="s">
        <v>627</v>
      </c>
      <c r="C364" s="7">
        <f t="shared" si="10"/>
        <v>0</v>
      </c>
      <c r="D364" s="8">
        <f t="shared" si="11"/>
        <v>0</v>
      </c>
      <c r="E364" s="9"/>
      <c r="F364" s="10"/>
      <c r="G364" s="10"/>
      <c r="H364" s="10"/>
      <c r="I364" s="9">
        <v>161125</v>
      </c>
      <c r="J364" s="1" t="s">
        <v>403</v>
      </c>
      <c r="K364" s="1"/>
    </row>
    <row r="365" spans="1:11" x14ac:dyDescent="0.2">
      <c r="A365" s="2" t="s">
        <v>676</v>
      </c>
      <c r="B365" t="s">
        <v>627</v>
      </c>
      <c r="C365" s="7">
        <f t="shared" si="10"/>
        <v>0</v>
      </c>
      <c r="D365" s="8">
        <f t="shared" si="11"/>
        <v>0</v>
      </c>
      <c r="E365" s="9"/>
      <c r="F365" s="10"/>
      <c r="G365" s="10"/>
      <c r="H365" s="10"/>
      <c r="I365" s="9">
        <v>667681</v>
      </c>
      <c r="J365" s="1" t="s">
        <v>152</v>
      </c>
      <c r="K365" s="1" t="s">
        <v>83</v>
      </c>
    </row>
    <row r="366" spans="1:11" x14ac:dyDescent="0.2">
      <c r="A366" s="2" t="s">
        <v>668</v>
      </c>
      <c r="B366" t="s">
        <v>627</v>
      </c>
      <c r="C366" s="7">
        <f t="shared" si="10"/>
        <v>0</v>
      </c>
      <c r="D366" s="8">
        <f t="shared" si="11"/>
        <v>0</v>
      </c>
      <c r="E366" s="9"/>
      <c r="F366" s="10"/>
      <c r="G366" s="10"/>
      <c r="H366" s="10"/>
      <c r="I366" s="9">
        <v>760531</v>
      </c>
      <c r="J366" s="1" t="s">
        <v>143</v>
      </c>
      <c r="K366" s="1" t="s">
        <v>83</v>
      </c>
    </row>
    <row r="367" spans="1:11" x14ac:dyDescent="0.2">
      <c r="A367" s="2" t="s">
        <v>892</v>
      </c>
      <c r="B367" t="s">
        <v>627</v>
      </c>
      <c r="C367" s="7">
        <f t="shared" si="10"/>
        <v>0</v>
      </c>
      <c r="D367" s="8">
        <f t="shared" si="11"/>
        <v>0</v>
      </c>
      <c r="E367" s="9"/>
      <c r="F367" s="10"/>
      <c r="G367" s="10"/>
      <c r="H367" s="10"/>
      <c r="I367" s="9">
        <v>207943</v>
      </c>
      <c r="J367" s="1" t="s">
        <v>344</v>
      </c>
      <c r="K367" s="1"/>
    </row>
    <row r="368" spans="1:11" x14ac:dyDescent="0.2">
      <c r="A368" s="6" t="s">
        <v>1108</v>
      </c>
      <c r="B368" t="s">
        <v>622</v>
      </c>
      <c r="C368" s="7">
        <f t="shared" si="10"/>
        <v>0</v>
      </c>
      <c r="D368" s="8">
        <f t="shared" si="11"/>
        <v>0</v>
      </c>
      <c r="E368" s="9"/>
      <c r="F368" s="10"/>
      <c r="G368" s="10"/>
      <c r="H368" s="10"/>
      <c r="I368" s="9">
        <v>182041</v>
      </c>
      <c r="J368" s="1" t="s">
        <v>373</v>
      </c>
      <c r="K368" s="1"/>
    </row>
    <row r="369" spans="1:11" x14ac:dyDescent="0.2">
      <c r="A369" s="6" t="s">
        <v>1064</v>
      </c>
      <c r="B369" t="s">
        <v>622</v>
      </c>
      <c r="C369" s="7">
        <f t="shared" si="10"/>
        <v>0</v>
      </c>
      <c r="D369" s="8">
        <f t="shared" si="11"/>
        <v>0</v>
      </c>
      <c r="E369" s="9"/>
      <c r="F369" s="10"/>
      <c r="G369" s="10"/>
      <c r="H369" s="10"/>
      <c r="I369" s="9">
        <v>138838</v>
      </c>
      <c r="J369" s="1" t="s">
        <v>445</v>
      </c>
      <c r="K369" s="1" t="s">
        <v>446</v>
      </c>
    </row>
    <row r="370" spans="1:11" x14ac:dyDescent="0.2">
      <c r="A370" s="2" t="s">
        <v>1004</v>
      </c>
      <c r="B370" t="s">
        <v>622</v>
      </c>
      <c r="C370" s="7">
        <f t="shared" si="10"/>
        <v>0</v>
      </c>
      <c r="D370" s="8">
        <f t="shared" si="11"/>
        <v>0</v>
      </c>
      <c r="E370" s="9"/>
      <c r="F370" s="10"/>
      <c r="G370" s="10"/>
      <c r="H370" s="10"/>
      <c r="I370" s="9">
        <v>266432</v>
      </c>
      <c r="J370" s="1" t="s">
        <v>296</v>
      </c>
      <c r="K370" s="1"/>
    </row>
    <row r="371" spans="1:11" x14ac:dyDescent="0.2">
      <c r="A371" s="2" t="s">
        <v>893</v>
      </c>
      <c r="B371" t="s">
        <v>622</v>
      </c>
      <c r="C371" s="7">
        <f t="shared" si="10"/>
        <v>0</v>
      </c>
      <c r="D371" s="8">
        <f t="shared" si="11"/>
        <v>0</v>
      </c>
      <c r="E371" s="9"/>
      <c r="F371" s="10"/>
      <c r="G371" s="10"/>
      <c r="H371" s="10"/>
      <c r="I371" s="9">
        <v>315749</v>
      </c>
      <c r="J371" s="1" t="s">
        <v>266</v>
      </c>
      <c r="K371" s="1"/>
    </row>
    <row r="372" spans="1:11" x14ac:dyDescent="0.2">
      <c r="A372" s="6" t="s">
        <v>1123</v>
      </c>
      <c r="B372" t="s">
        <v>622</v>
      </c>
      <c r="C372" s="7">
        <f t="shared" si="10"/>
        <v>0</v>
      </c>
      <c r="D372" s="8">
        <f t="shared" si="11"/>
        <v>0</v>
      </c>
      <c r="E372" s="9"/>
      <c r="F372" s="10"/>
      <c r="G372" s="10"/>
      <c r="H372" s="10"/>
      <c r="I372" s="9">
        <v>128481</v>
      </c>
      <c r="J372" s="1" t="s">
        <v>463</v>
      </c>
      <c r="K372" s="1" t="s">
        <v>446</v>
      </c>
    </row>
    <row r="373" spans="1:11" x14ac:dyDescent="0.2">
      <c r="A373" s="6" t="s">
        <v>1118</v>
      </c>
      <c r="B373" t="s">
        <v>622</v>
      </c>
      <c r="C373" s="7">
        <f t="shared" si="10"/>
        <v>0</v>
      </c>
      <c r="D373" s="8">
        <f t="shared" si="11"/>
        <v>0</v>
      </c>
      <c r="E373" s="9"/>
      <c r="F373" s="10"/>
      <c r="G373" s="10"/>
      <c r="H373" s="10"/>
      <c r="I373" s="9">
        <v>149702</v>
      </c>
      <c r="J373" s="1" t="s">
        <v>429</v>
      </c>
      <c r="K373" s="1" t="s">
        <v>13</v>
      </c>
    </row>
    <row r="374" spans="1:11" x14ac:dyDescent="0.2">
      <c r="A374" s="2" t="s">
        <v>1014</v>
      </c>
      <c r="B374" t="s">
        <v>611</v>
      </c>
      <c r="C374" s="7">
        <f t="shared" si="10"/>
        <v>0</v>
      </c>
      <c r="D374" s="8">
        <f t="shared" si="11"/>
        <v>0</v>
      </c>
      <c r="E374" s="9"/>
      <c r="F374" s="10"/>
      <c r="G374" s="10"/>
      <c r="H374" s="10"/>
      <c r="I374" s="9">
        <v>234954</v>
      </c>
      <c r="J374" s="1" t="s">
        <v>316</v>
      </c>
      <c r="K374" s="1"/>
    </row>
    <row r="375" spans="1:11" x14ac:dyDescent="0.2">
      <c r="A375" s="2" t="s">
        <v>894</v>
      </c>
      <c r="B375" t="s">
        <v>611</v>
      </c>
      <c r="C375" s="7">
        <f t="shared" si="10"/>
        <v>0</v>
      </c>
      <c r="D375" s="8">
        <f t="shared" si="11"/>
        <v>0</v>
      </c>
      <c r="E375" s="9"/>
      <c r="F375" s="10"/>
      <c r="G375" s="10"/>
      <c r="H375" s="10"/>
      <c r="I375" s="9">
        <v>319428</v>
      </c>
      <c r="J375" s="1" t="s">
        <v>264</v>
      </c>
      <c r="K375" s="1" t="s">
        <v>265</v>
      </c>
    </row>
    <row r="376" spans="1:11" x14ac:dyDescent="0.2">
      <c r="A376" s="6" t="s">
        <v>1126</v>
      </c>
      <c r="B376" t="s">
        <v>611</v>
      </c>
      <c r="C376" s="7">
        <f t="shared" si="10"/>
        <v>0</v>
      </c>
      <c r="D376" s="8">
        <f t="shared" si="11"/>
        <v>0</v>
      </c>
      <c r="E376" s="9"/>
      <c r="F376" s="10"/>
      <c r="G376" s="10"/>
      <c r="H376" s="10"/>
      <c r="I376" s="9">
        <v>113982</v>
      </c>
      <c r="J376" s="1" t="s">
        <v>487</v>
      </c>
      <c r="K376" s="1" t="s">
        <v>46</v>
      </c>
    </row>
    <row r="377" spans="1:11" x14ac:dyDescent="0.2">
      <c r="A377" s="6" t="s">
        <v>1122</v>
      </c>
      <c r="B377" t="s">
        <v>611</v>
      </c>
      <c r="C377" s="7">
        <f t="shared" si="10"/>
        <v>0</v>
      </c>
      <c r="D377" s="8">
        <f t="shared" si="11"/>
        <v>0</v>
      </c>
      <c r="E377" s="9"/>
      <c r="F377" s="10"/>
      <c r="G377" s="10"/>
      <c r="H377" s="10"/>
      <c r="I377" s="9">
        <v>132736</v>
      </c>
      <c r="J377" s="1" t="s">
        <v>453</v>
      </c>
      <c r="K377" s="1" t="s">
        <v>28</v>
      </c>
    </row>
    <row r="378" spans="1:11" x14ac:dyDescent="0.2">
      <c r="A378" s="2" t="s">
        <v>686</v>
      </c>
      <c r="B378" t="s">
        <v>611</v>
      </c>
      <c r="C378" s="7">
        <f t="shared" si="10"/>
        <v>0</v>
      </c>
      <c r="D378" s="8">
        <f t="shared" si="11"/>
        <v>0</v>
      </c>
      <c r="E378" s="9"/>
      <c r="F378" s="10"/>
      <c r="G378" s="10"/>
      <c r="H378" s="10"/>
      <c r="I378" s="9">
        <v>604962</v>
      </c>
      <c r="J378" s="1" t="s">
        <v>165</v>
      </c>
      <c r="K378" s="1" t="s">
        <v>166</v>
      </c>
    </row>
    <row r="379" spans="1:11" x14ac:dyDescent="0.2">
      <c r="A379" s="6" t="s">
        <v>1103</v>
      </c>
      <c r="B379" t="s">
        <v>611</v>
      </c>
      <c r="C379" s="7">
        <f t="shared" si="10"/>
        <v>0</v>
      </c>
      <c r="D379" s="8">
        <f t="shared" si="11"/>
        <v>0</v>
      </c>
      <c r="E379" s="9"/>
      <c r="F379" s="10"/>
      <c r="G379" s="10"/>
      <c r="H379" s="10"/>
      <c r="I379" s="9">
        <v>62068</v>
      </c>
      <c r="J379" s="1" t="s">
        <v>542</v>
      </c>
      <c r="K379" s="1" t="s">
        <v>543</v>
      </c>
    </row>
    <row r="380" spans="1:11" x14ac:dyDescent="0.2">
      <c r="A380" s="6" t="s">
        <v>1124</v>
      </c>
      <c r="B380" t="s">
        <v>611</v>
      </c>
      <c r="C380" s="7">
        <f t="shared" si="10"/>
        <v>0</v>
      </c>
      <c r="D380" s="8">
        <f t="shared" si="11"/>
        <v>0</v>
      </c>
      <c r="E380" s="9"/>
      <c r="F380" s="10"/>
      <c r="G380" s="10"/>
      <c r="H380" s="10"/>
      <c r="I380" s="9">
        <v>127023</v>
      </c>
      <c r="J380" s="1" t="s">
        <v>466</v>
      </c>
      <c r="K380" s="1"/>
    </row>
    <row r="381" spans="1:11" x14ac:dyDescent="0.2">
      <c r="A381" s="2" t="s">
        <v>1008</v>
      </c>
      <c r="B381" t="s">
        <v>611</v>
      </c>
      <c r="C381" s="7">
        <f t="shared" si="10"/>
        <v>0</v>
      </c>
      <c r="D381" s="8">
        <f t="shared" si="11"/>
        <v>0</v>
      </c>
      <c r="E381" s="9"/>
      <c r="F381" s="10"/>
      <c r="G381" s="10"/>
      <c r="H381" s="10"/>
      <c r="I381" s="9">
        <v>258523</v>
      </c>
      <c r="J381" s="1" t="s">
        <v>302</v>
      </c>
      <c r="K381" s="1"/>
    </row>
    <row r="382" spans="1:11" x14ac:dyDescent="0.2">
      <c r="A382" s="2" t="s">
        <v>895</v>
      </c>
      <c r="B382" t="s">
        <v>624</v>
      </c>
      <c r="C382" s="7">
        <f t="shared" si="10"/>
        <v>0</v>
      </c>
      <c r="D382" s="8">
        <f t="shared" si="11"/>
        <v>0</v>
      </c>
      <c r="E382" s="9"/>
      <c r="F382" s="10"/>
      <c r="G382" s="10"/>
      <c r="H382" s="10"/>
      <c r="I382" s="9">
        <v>248992</v>
      </c>
      <c r="J382" s="1" t="s">
        <v>306</v>
      </c>
      <c r="K382" s="1" t="s">
        <v>307</v>
      </c>
    </row>
    <row r="383" spans="1:11" x14ac:dyDescent="0.2">
      <c r="A383" s="6" t="s">
        <v>1038</v>
      </c>
      <c r="B383" t="s">
        <v>624</v>
      </c>
      <c r="C383" s="7">
        <f t="shared" si="10"/>
        <v>0</v>
      </c>
      <c r="D383" s="8">
        <f t="shared" si="11"/>
        <v>0</v>
      </c>
      <c r="E383" s="9"/>
      <c r="F383" s="10"/>
      <c r="G383" s="10"/>
      <c r="H383" s="10"/>
      <c r="I383" s="9">
        <v>176153</v>
      </c>
      <c r="J383" s="1" t="s">
        <v>380</v>
      </c>
      <c r="K383" s="1" t="s">
        <v>381</v>
      </c>
    </row>
    <row r="384" spans="1:11" x14ac:dyDescent="0.2">
      <c r="A384" s="6" t="s">
        <v>1089</v>
      </c>
      <c r="B384" t="s">
        <v>624</v>
      </c>
      <c r="C384" s="7">
        <f t="shared" si="10"/>
        <v>0</v>
      </c>
      <c r="D384" s="8">
        <f t="shared" si="11"/>
        <v>0</v>
      </c>
      <c r="E384" s="9"/>
      <c r="F384" s="10"/>
      <c r="G384" s="10"/>
      <c r="H384" s="10"/>
      <c r="I384" s="9">
        <v>104269</v>
      </c>
      <c r="J384" s="1" t="s">
        <v>506</v>
      </c>
      <c r="K384" s="1"/>
    </row>
    <row r="385" spans="1:11" x14ac:dyDescent="0.2">
      <c r="A385" s="2" t="s">
        <v>711</v>
      </c>
      <c r="B385" t="s">
        <v>624</v>
      </c>
      <c r="C385" s="7">
        <f t="shared" si="10"/>
        <v>0</v>
      </c>
      <c r="D385" s="8">
        <f t="shared" si="11"/>
        <v>0</v>
      </c>
      <c r="E385" s="9"/>
      <c r="F385" s="10"/>
      <c r="G385" s="10"/>
      <c r="H385" s="10"/>
      <c r="I385" s="9">
        <v>334697</v>
      </c>
      <c r="J385" s="1" t="s">
        <v>257</v>
      </c>
      <c r="K385" s="1" t="s">
        <v>258</v>
      </c>
    </row>
    <row r="386" spans="1:11" x14ac:dyDescent="0.2">
      <c r="A386" s="6" t="s">
        <v>1114</v>
      </c>
      <c r="B386" t="s">
        <v>624</v>
      </c>
      <c r="C386" s="7">
        <f t="shared" ref="C386:C397" si="12">INT(NOT(AND(ISBLANK(E386),ISBLANK(F386),ISBLANK(G386),ISBLANK(H386))))</f>
        <v>0</v>
      </c>
      <c r="D386" s="8">
        <f t="shared" ref="D386:D397" si="13">4-(ISBLANK(E386)+ISBLANK(F386)+ISBLANK(G386)+ISBLANK(H386))</f>
        <v>0</v>
      </c>
      <c r="E386" s="9"/>
      <c r="F386" s="10"/>
      <c r="G386" s="10"/>
      <c r="H386" s="10"/>
      <c r="I386" s="9">
        <v>165461</v>
      </c>
      <c r="J386" s="1" t="s">
        <v>397</v>
      </c>
      <c r="K386" s="1" t="s">
        <v>149</v>
      </c>
    </row>
    <row r="387" spans="1:11" x14ac:dyDescent="0.2">
      <c r="A387" s="6" t="s">
        <v>1045</v>
      </c>
      <c r="B387" t="s">
        <v>624</v>
      </c>
      <c r="C387" s="7">
        <f t="shared" si="12"/>
        <v>0</v>
      </c>
      <c r="D387" s="8">
        <f t="shared" si="13"/>
        <v>0</v>
      </c>
      <c r="E387" s="9"/>
      <c r="F387" s="10"/>
      <c r="G387" s="10"/>
      <c r="H387" s="10"/>
      <c r="I387" s="9">
        <v>168754</v>
      </c>
      <c r="J387" s="1" t="s">
        <v>396</v>
      </c>
      <c r="K387" s="1" t="s">
        <v>5</v>
      </c>
    </row>
    <row r="388" spans="1:11" x14ac:dyDescent="0.2">
      <c r="A388" s="6" t="s">
        <v>1112</v>
      </c>
      <c r="B388" t="s">
        <v>624</v>
      </c>
      <c r="C388" s="7">
        <f t="shared" si="12"/>
        <v>0</v>
      </c>
      <c r="D388" s="8">
        <f t="shared" si="13"/>
        <v>0</v>
      </c>
      <c r="E388" s="9"/>
      <c r="F388" s="10"/>
      <c r="G388" s="10"/>
      <c r="H388" s="10"/>
      <c r="I388" s="9">
        <v>170763</v>
      </c>
      <c r="J388" s="1" t="s">
        <v>388</v>
      </c>
      <c r="K388" s="1" t="s">
        <v>389</v>
      </c>
    </row>
    <row r="389" spans="1:11" x14ac:dyDescent="0.2">
      <c r="A389" s="6" t="s">
        <v>1110</v>
      </c>
      <c r="B389" t="s">
        <v>624</v>
      </c>
      <c r="C389" s="7">
        <f t="shared" si="12"/>
        <v>0</v>
      </c>
      <c r="D389" s="8">
        <f t="shared" si="13"/>
        <v>0</v>
      </c>
      <c r="E389" s="9"/>
      <c r="F389" s="10"/>
      <c r="G389" s="10"/>
      <c r="H389" s="10"/>
      <c r="I389" s="9">
        <v>173307</v>
      </c>
      <c r="J389" s="1" t="s">
        <v>382</v>
      </c>
      <c r="K389" s="1" t="s">
        <v>307</v>
      </c>
    </row>
    <row r="390" spans="1:11" x14ac:dyDescent="0.2">
      <c r="A390" s="6" t="s">
        <v>1107</v>
      </c>
      <c r="B390" t="s">
        <v>624</v>
      </c>
      <c r="C390" s="7">
        <f t="shared" si="12"/>
        <v>0</v>
      </c>
      <c r="D390" s="8">
        <f t="shared" si="13"/>
        <v>0</v>
      </c>
      <c r="E390" s="9"/>
      <c r="F390" s="10"/>
      <c r="G390" s="10"/>
      <c r="H390" s="10"/>
      <c r="I390" s="9">
        <v>198651</v>
      </c>
      <c r="J390" s="1" t="s">
        <v>356</v>
      </c>
      <c r="K390" s="1" t="s">
        <v>72</v>
      </c>
    </row>
    <row r="391" spans="1:11" x14ac:dyDescent="0.2">
      <c r="A391" s="6" t="s">
        <v>1079</v>
      </c>
      <c r="B391" t="s">
        <v>624</v>
      </c>
      <c r="C391" s="7">
        <f t="shared" si="12"/>
        <v>0</v>
      </c>
      <c r="D391" s="8">
        <f t="shared" si="13"/>
        <v>0</v>
      </c>
      <c r="E391" s="9"/>
      <c r="F391" s="10"/>
      <c r="G391" s="10"/>
      <c r="H391" s="10"/>
      <c r="I391" s="9">
        <v>118331</v>
      </c>
      <c r="J391" s="1" t="s">
        <v>483</v>
      </c>
      <c r="K391" s="1"/>
    </row>
    <row r="392" spans="1:11" x14ac:dyDescent="0.2">
      <c r="A392" s="6" t="s">
        <v>1063</v>
      </c>
      <c r="B392" t="s">
        <v>624</v>
      </c>
      <c r="C392" s="7">
        <f t="shared" si="12"/>
        <v>0</v>
      </c>
      <c r="D392" s="8">
        <f t="shared" si="13"/>
        <v>0</v>
      </c>
      <c r="E392" s="9"/>
      <c r="F392" s="10"/>
      <c r="G392" s="10"/>
      <c r="H392" s="10"/>
      <c r="I392" s="9">
        <v>139091</v>
      </c>
      <c r="J392" s="1" t="s">
        <v>443</v>
      </c>
      <c r="K392" s="1" t="s">
        <v>444</v>
      </c>
    </row>
    <row r="393" spans="1:11" x14ac:dyDescent="0.2">
      <c r="A393" s="6" t="s">
        <v>1083</v>
      </c>
      <c r="B393" t="s">
        <v>705</v>
      </c>
      <c r="C393" s="7">
        <f t="shared" si="12"/>
        <v>0</v>
      </c>
      <c r="D393" s="8">
        <f t="shared" si="13"/>
        <v>0</v>
      </c>
      <c r="E393" s="9"/>
      <c r="F393" s="10"/>
      <c r="G393" s="10"/>
      <c r="H393" s="10"/>
      <c r="I393" s="9">
        <v>110979</v>
      </c>
      <c r="J393" s="1" t="s">
        <v>496</v>
      </c>
      <c r="K393" s="1"/>
    </row>
    <row r="394" spans="1:11" x14ac:dyDescent="0.2">
      <c r="A394" s="6" t="s">
        <v>1131</v>
      </c>
      <c r="B394" t="s">
        <v>705</v>
      </c>
      <c r="C394" s="7">
        <f t="shared" si="12"/>
        <v>0</v>
      </c>
      <c r="D394" s="8">
        <f t="shared" si="13"/>
        <v>0</v>
      </c>
      <c r="E394" s="9"/>
      <c r="F394" s="10"/>
      <c r="G394" s="10"/>
      <c r="H394" s="10"/>
      <c r="I394" s="9">
        <v>87681</v>
      </c>
      <c r="J394" s="1" t="s">
        <v>530</v>
      </c>
      <c r="K394" s="1" t="s">
        <v>531</v>
      </c>
    </row>
    <row r="395" spans="1:11" x14ac:dyDescent="0.2">
      <c r="A395" s="6" t="s">
        <v>1127</v>
      </c>
      <c r="B395" t="s">
        <v>705</v>
      </c>
      <c r="C395" s="7">
        <f t="shared" si="12"/>
        <v>0</v>
      </c>
      <c r="D395" s="8">
        <f t="shared" si="13"/>
        <v>0</v>
      </c>
      <c r="E395" s="9"/>
      <c r="F395" s="10"/>
      <c r="G395" s="10"/>
      <c r="H395" s="10"/>
      <c r="I395" s="9">
        <v>113239</v>
      </c>
      <c r="J395" s="1" t="s">
        <v>490</v>
      </c>
      <c r="K395" s="1" t="s">
        <v>50</v>
      </c>
    </row>
    <row r="396" spans="1:11" x14ac:dyDescent="0.2">
      <c r="A396" s="6" t="s">
        <v>1121</v>
      </c>
      <c r="B396" t="s">
        <v>705</v>
      </c>
      <c r="C396" s="7">
        <f t="shared" si="12"/>
        <v>0</v>
      </c>
      <c r="D396" s="8">
        <f t="shared" si="13"/>
        <v>0</v>
      </c>
      <c r="E396" s="9"/>
      <c r="F396" s="10"/>
      <c r="G396" s="10"/>
      <c r="H396" s="10"/>
      <c r="I396" s="9">
        <v>135136</v>
      </c>
      <c r="J396" s="1" t="s">
        <v>449</v>
      </c>
      <c r="K396" s="1"/>
    </row>
    <row r="397" spans="1:11" x14ac:dyDescent="0.2">
      <c r="A397" s="2" t="s">
        <v>868</v>
      </c>
      <c r="B397" t="s">
        <v>731</v>
      </c>
      <c r="C397" s="7">
        <f t="shared" si="12"/>
        <v>0</v>
      </c>
      <c r="D397" s="8">
        <f t="shared" si="13"/>
        <v>0</v>
      </c>
      <c r="E397" s="9"/>
      <c r="F397" s="10"/>
      <c r="G397" s="10"/>
      <c r="H397" s="10"/>
      <c r="I397" s="9">
        <v>80410</v>
      </c>
      <c r="J397" s="1" t="s">
        <v>538</v>
      </c>
      <c r="K397" s="1"/>
    </row>
  </sheetData>
  <sortState xmlns:xlrd2="http://schemas.microsoft.com/office/spreadsheetml/2017/richdata2" ref="A2:K397">
    <sortCondition descending="1" ref="C2:C397"/>
    <sortCondition ref="B2:B397"/>
    <sortCondition ref="A2:A3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3266-DC44-5B42-893F-A4B9421F4244}">
  <dimension ref="A1:G101"/>
  <sheetViews>
    <sheetView workbookViewId="0">
      <pane xSplit="2" ySplit="1" topLeftCell="C62" activePane="bottomRight" state="frozen"/>
      <selection pane="topRight" activeCell="D1" sqref="D1"/>
      <selection pane="bottomLeft" activeCell="A2" sqref="A2"/>
      <selection pane="bottomRight" activeCell="A89" sqref="A89:B101"/>
    </sheetView>
  </sheetViews>
  <sheetFormatPr baseColWidth="10" defaultRowHeight="16" x14ac:dyDescent="0.2"/>
  <cols>
    <col min="1" max="1" width="7.6640625" bestFit="1" customWidth="1"/>
    <col min="2" max="2" width="16.6640625" bestFit="1" customWidth="1"/>
    <col min="3" max="4" width="11.33203125" bestFit="1" customWidth="1"/>
    <col min="5" max="5" width="12.83203125" bestFit="1" customWidth="1"/>
    <col min="7" max="7" width="18" bestFit="1" customWidth="1"/>
    <col min="8" max="8" width="12" bestFit="1" customWidth="1"/>
  </cols>
  <sheetData>
    <row r="1" spans="1:6" x14ac:dyDescent="0.2">
      <c r="A1" t="s">
        <v>587</v>
      </c>
      <c r="B1" t="s">
        <v>549</v>
      </c>
      <c r="C1" t="s">
        <v>931</v>
      </c>
      <c r="D1" t="s">
        <v>934</v>
      </c>
      <c r="E1" t="s">
        <v>932</v>
      </c>
      <c r="F1" t="s">
        <v>1197</v>
      </c>
    </row>
    <row r="2" spans="1:6" x14ac:dyDescent="0.2">
      <c r="A2" t="s">
        <v>628</v>
      </c>
      <c r="B2" t="s">
        <v>602</v>
      </c>
      <c r="C2">
        <v>13</v>
      </c>
      <c r="D2" s="4">
        <f>DATE(2023,5,14)</f>
        <v>45060</v>
      </c>
      <c r="E2">
        <v>3.8</v>
      </c>
      <c r="F2">
        <v>0</v>
      </c>
    </row>
    <row r="3" spans="1:6" x14ac:dyDescent="0.2">
      <c r="A3" t="s">
        <v>628</v>
      </c>
      <c r="B3" t="s">
        <v>708</v>
      </c>
      <c r="C3">
        <v>13</v>
      </c>
      <c r="D3" s="4">
        <f>DATE(2023,5,15)</f>
        <v>45061</v>
      </c>
      <c r="E3">
        <v>4</v>
      </c>
      <c r="F3">
        <v>0</v>
      </c>
    </row>
    <row r="4" spans="1:6" x14ac:dyDescent="0.2">
      <c r="A4" t="s">
        <v>589</v>
      </c>
      <c r="B4" t="s">
        <v>551</v>
      </c>
      <c r="C4">
        <v>107</v>
      </c>
      <c r="D4" s="4">
        <f>DATE(2021,6,12)</f>
        <v>44359</v>
      </c>
      <c r="E4">
        <v>27</v>
      </c>
      <c r="F4">
        <v>0</v>
      </c>
    </row>
    <row r="5" spans="1:6" x14ac:dyDescent="0.2">
      <c r="A5" t="s">
        <v>589</v>
      </c>
      <c r="B5" t="s">
        <v>561</v>
      </c>
      <c r="C5">
        <v>25</v>
      </c>
      <c r="D5" s="4">
        <f>DATE(2021,6,14)</f>
        <v>44361</v>
      </c>
      <c r="E5">
        <v>3</v>
      </c>
      <c r="F5">
        <v>0</v>
      </c>
    </row>
    <row r="6" spans="1:6" x14ac:dyDescent="0.2">
      <c r="A6" t="s">
        <v>589</v>
      </c>
      <c r="B6" t="s">
        <v>567</v>
      </c>
      <c r="C6">
        <v>67</v>
      </c>
      <c r="D6" s="4">
        <f>DATE(2021,6,13)</f>
        <v>44360</v>
      </c>
      <c r="E6">
        <v>31.1</v>
      </c>
      <c r="F6">
        <v>0</v>
      </c>
    </row>
    <row r="7" spans="1:6" x14ac:dyDescent="0.2">
      <c r="A7" t="s">
        <v>613</v>
      </c>
      <c r="B7" t="s">
        <v>568</v>
      </c>
      <c r="C7">
        <v>33</v>
      </c>
      <c r="D7" s="4">
        <f>DATE(2025,2,9)</f>
        <v>45697</v>
      </c>
      <c r="E7">
        <v>9.9</v>
      </c>
      <c r="F7">
        <v>0</v>
      </c>
    </row>
    <row r="8" spans="1:6" x14ac:dyDescent="0.2">
      <c r="A8" t="s">
        <v>632</v>
      </c>
      <c r="B8" t="s">
        <v>631</v>
      </c>
      <c r="C8">
        <v>14</v>
      </c>
      <c r="D8" s="4">
        <f>DATE(2021,9,6)</f>
        <v>44445</v>
      </c>
      <c r="E8">
        <v>2.1</v>
      </c>
      <c r="F8">
        <v>0</v>
      </c>
    </row>
    <row r="9" spans="1:6" x14ac:dyDescent="0.2">
      <c r="A9" t="s">
        <v>632</v>
      </c>
      <c r="B9" t="s">
        <v>689</v>
      </c>
      <c r="C9">
        <v>17</v>
      </c>
      <c r="D9" s="17">
        <f>DATE(2021,5,12)</f>
        <v>44328</v>
      </c>
      <c r="E9">
        <v>4.5999999999999996</v>
      </c>
      <c r="F9">
        <v>0</v>
      </c>
    </row>
    <row r="10" spans="1:6" x14ac:dyDescent="0.2">
      <c r="A10" t="s">
        <v>609</v>
      </c>
      <c r="B10" t="s">
        <v>556</v>
      </c>
      <c r="C10">
        <v>121</v>
      </c>
      <c r="D10" s="4">
        <f>DATE(2025,1,1)</f>
        <v>45658</v>
      </c>
      <c r="E10">
        <v>99.9</v>
      </c>
      <c r="F10">
        <v>0</v>
      </c>
    </row>
    <row r="11" spans="1:6" x14ac:dyDescent="0.2">
      <c r="A11" t="s">
        <v>722</v>
      </c>
      <c r="B11" t="s">
        <v>723</v>
      </c>
      <c r="C11">
        <v>10</v>
      </c>
      <c r="D11" s="4">
        <f>DATE(2022,4,3)</f>
        <v>44654</v>
      </c>
      <c r="E11">
        <v>1.8</v>
      </c>
      <c r="F11">
        <v>0</v>
      </c>
    </row>
    <row r="12" spans="1:6" x14ac:dyDescent="0.2">
      <c r="A12" t="s">
        <v>608</v>
      </c>
      <c r="B12" t="s">
        <v>593</v>
      </c>
      <c r="C12">
        <v>8</v>
      </c>
      <c r="D12" s="4">
        <f>DATE(2023,12,15)</f>
        <v>45275</v>
      </c>
      <c r="E12">
        <v>11.5</v>
      </c>
      <c r="F12">
        <v>0</v>
      </c>
    </row>
    <row r="13" spans="1:6" x14ac:dyDescent="0.2">
      <c r="A13" t="s">
        <v>608</v>
      </c>
      <c r="B13" t="s">
        <v>966</v>
      </c>
      <c r="C13">
        <v>17</v>
      </c>
      <c r="D13" s="4">
        <f>DATE(2023,12,18)</f>
        <v>45278</v>
      </c>
      <c r="E13">
        <v>8.9</v>
      </c>
      <c r="F13">
        <v>0</v>
      </c>
    </row>
    <row r="14" spans="1:6" x14ac:dyDescent="0.2">
      <c r="A14" t="s">
        <v>608</v>
      </c>
      <c r="B14" t="s">
        <v>555</v>
      </c>
      <c r="C14">
        <v>25</v>
      </c>
      <c r="D14" s="4">
        <f>DATE(2023,12,17)</f>
        <v>45277</v>
      </c>
      <c r="E14">
        <v>14.3</v>
      </c>
      <c r="F14">
        <v>0</v>
      </c>
    </row>
    <row r="15" spans="1:6" x14ac:dyDescent="0.2">
      <c r="A15" t="s">
        <v>608</v>
      </c>
      <c r="B15" t="s">
        <v>569</v>
      </c>
      <c r="C15">
        <v>23</v>
      </c>
      <c r="D15" s="4">
        <f>DATE(2023,12,16)</f>
        <v>45276</v>
      </c>
      <c r="E15">
        <v>6.1</v>
      </c>
      <c r="F15">
        <v>0</v>
      </c>
    </row>
    <row r="16" spans="1:6" x14ac:dyDescent="0.2">
      <c r="A16" t="s">
        <v>608</v>
      </c>
      <c r="B16" t="s">
        <v>709</v>
      </c>
      <c r="C16">
        <v>10</v>
      </c>
      <c r="D16" s="4">
        <f>DATE(2023,12,20)</f>
        <v>45280</v>
      </c>
      <c r="E16">
        <v>5</v>
      </c>
      <c r="F16">
        <v>0</v>
      </c>
    </row>
    <row r="17" spans="1:7" x14ac:dyDescent="0.2">
      <c r="A17" t="s">
        <v>608</v>
      </c>
      <c r="B17" t="s">
        <v>566</v>
      </c>
      <c r="C17">
        <v>20</v>
      </c>
      <c r="D17" s="4">
        <f>DATE(2023,12,19)</f>
        <v>45279</v>
      </c>
      <c r="E17">
        <v>7.4</v>
      </c>
      <c r="F17">
        <v>0</v>
      </c>
    </row>
    <row r="18" spans="1:7" x14ac:dyDescent="0.2">
      <c r="A18" t="s">
        <v>603</v>
      </c>
      <c r="B18" t="s">
        <v>557</v>
      </c>
      <c r="C18">
        <v>26</v>
      </c>
      <c r="D18" s="4">
        <f>DATE(2023,5,16)</f>
        <v>45062</v>
      </c>
      <c r="E18">
        <v>10.5</v>
      </c>
      <c r="F18">
        <v>0</v>
      </c>
    </row>
    <row r="19" spans="1:7" x14ac:dyDescent="0.2">
      <c r="A19" t="s">
        <v>603</v>
      </c>
      <c r="B19" t="s">
        <v>864</v>
      </c>
      <c r="C19">
        <v>45</v>
      </c>
      <c r="D19" s="4">
        <f>DATE(2023,5,16)</f>
        <v>45062</v>
      </c>
      <c r="E19">
        <v>8.6</v>
      </c>
      <c r="F19">
        <v>0</v>
      </c>
    </row>
    <row r="20" spans="1:7" x14ac:dyDescent="0.2">
      <c r="A20" t="s">
        <v>670</v>
      </c>
      <c r="B20" t="s">
        <v>871</v>
      </c>
      <c r="C20">
        <v>8</v>
      </c>
      <c r="D20" s="4">
        <f>DATE(2022,8,26)</f>
        <v>44799</v>
      </c>
      <c r="E20">
        <v>1.8</v>
      </c>
      <c r="F20">
        <v>0</v>
      </c>
    </row>
    <row r="21" spans="1:7" x14ac:dyDescent="0.2">
      <c r="A21" s="2" t="s">
        <v>670</v>
      </c>
      <c r="B21" s="2" t="s">
        <v>669</v>
      </c>
      <c r="C21" s="2">
        <v>20</v>
      </c>
      <c r="D21" s="17">
        <f>DATE(2021,10,23)</f>
        <v>44492</v>
      </c>
      <c r="E21" s="2">
        <v>8.1</v>
      </c>
      <c r="F21">
        <v>0</v>
      </c>
    </row>
    <row r="22" spans="1:7" x14ac:dyDescent="0.2">
      <c r="A22" s="2" t="s">
        <v>662</v>
      </c>
      <c r="B22" s="2" t="s">
        <v>661</v>
      </c>
      <c r="C22" s="2">
        <v>30</v>
      </c>
      <c r="D22" s="17">
        <f>DATE(2026,6,8)</f>
        <v>46181</v>
      </c>
      <c r="E22" s="2">
        <v>15.4</v>
      </c>
      <c r="F22">
        <v>0</v>
      </c>
    </row>
    <row r="23" spans="1:7" x14ac:dyDescent="0.2">
      <c r="A23" s="2" t="s">
        <v>662</v>
      </c>
      <c r="B23" s="2" t="s">
        <v>1075</v>
      </c>
      <c r="C23" s="2">
        <v>11</v>
      </c>
      <c r="D23" s="17">
        <f>DATE(2026,6,11)</f>
        <v>46184</v>
      </c>
      <c r="E23" s="2">
        <v>8.6</v>
      </c>
      <c r="F23">
        <v>0</v>
      </c>
    </row>
    <row r="24" spans="1:7" x14ac:dyDescent="0.2">
      <c r="A24" t="s">
        <v>590</v>
      </c>
      <c r="B24" t="s">
        <v>552</v>
      </c>
      <c r="C24">
        <v>63</v>
      </c>
      <c r="D24" s="4">
        <f>DATE(2022,8,25)</f>
        <v>44798</v>
      </c>
      <c r="E24">
        <v>22.7</v>
      </c>
      <c r="F24">
        <v>0</v>
      </c>
    </row>
    <row r="25" spans="1:7" x14ac:dyDescent="0.2">
      <c r="A25" s="2" t="s">
        <v>590</v>
      </c>
      <c r="B25" s="2" t="s">
        <v>720</v>
      </c>
      <c r="C25" s="2">
        <v>20</v>
      </c>
      <c r="D25" s="17">
        <f>DATE(2021,10,22)</f>
        <v>44491</v>
      </c>
      <c r="E25" s="2">
        <v>7.3</v>
      </c>
      <c r="F25">
        <v>0</v>
      </c>
    </row>
    <row r="26" spans="1:7" x14ac:dyDescent="0.2">
      <c r="A26" s="2" t="s">
        <v>620</v>
      </c>
      <c r="B26" s="2" t="s">
        <v>582</v>
      </c>
      <c r="C26" s="2">
        <v>25</v>
      </c>
      <c r="D26" s="17">
        <f>DATE(2021,10,21)</f>
        <v>44490</v>
      </c>
      <c r="E26" s="2">
        <v>10.6</v>
      </c>
      <c r="F26">
        <v>0</v>
      </c>
    </row>
    <row r="27" spans="1:7" x14ac:dyDescent="0.2">
      <c r="A27" s="2" t="s">
        <v>677</v>
      </c>
      <c r="B27" s="2" t="s">
        <v>717</v>
      </c>
      <c r="C27" s="2">
        <v>20</v>
      </c>
      <c r="D27" s="17">
        <f>DATE(2021,10,25)</f>
        <v>44494</v>
      </c>
      <c r="E27" s="2">
        <v>2.6</v>
      </c>
      <c r="F27">
        <v>0</v>
      </c>
    </row>
    <row r="28" spans="1:7" x14ac:dyDescent="0.2">
      <c r="A28" s="2" t="s">
        <v>626</v>
      </c>
      <c r="B28" s="2" t="s">
        <v>739</v>
      </c>
      <c r="C28" s="2">
        <v>17</v>
      </c>
      <c r="D28" s="17">
        <f>DATE(2021,10,29)</f>
        <v>44498</v>
      </c>
      <c r="E28" s="2">
        <v>2.2999999999999998</v>
      </c>
      <c r="F28">
        <v>0</v>
      </c>
    </row>
    <row r="29" spans="1:7" x14ac:dyDescent="0.2">
      <c r="A29" s="2" t="s">
        <v>626</v>
      </c>
      <c r="B29" s="2" t="s">
        <v>598</v>
      </c>
      <c r="C29" s="2">
        <v>20</v>
      </c>
      <c r="D29" s="17">
        <f>DATE(2021,10,29)</f>
        <v>44498</v>
      </c>
      <c r="E29" s="2">
        <v>7.6</v>
      </c>
      <c r="F29">
        <v>0</v>
      </c>
    </row>
    <row r="30" spans="1:7" x14ac:dyDescent="0.2">
      <c r="A30" t="s">
        <v>645</v>
      </c>
      <c r="B30" t="s">
        <v>644</v>
      </c>
      <c r="C30">
        <v>38</v>
      </c>
      <c r="D30" s="4">
        <f>DATE(2022,5,19)</f>
        <v>44700</v>
      </c>
      <c r="E30">
        <v>23.9</v>
      </c>
      <c r="F30">
        <v>0</v>
      </c>
    </row>
    <row r="31" spans="1:7" x14ac:dyDescent="0.2">
      <c r="A31" t="s">
        <v>606</v>
      </c>
      <c r="B31" t="s">
        <v>560</v>
      </c>
      <c r="C31">
        <v>17</v>
      </c>
      <c r="D31" s="17">
        <f>DATE(2021,5,13)</f>
        <v>44329</v>
      </c>
      <c r="E31">
        <v>18.11</v>
      </c>
      <c r="F31">
        <v>0</v>
      </c>
      <c r="G31" s="16"/>
    </row>
    <row r="32" spans="1:7" x14ac:dyDescent="0.2">
      <c r="A32" t="s">
        <v>615</v>
      </c>
      <c r="B32" t="s">
        <v>743</v>
      </c>
      <c r="C32">
        <v>18</v>
      </c>
      <c r="D32" s="4">
        <f>DATE(2022,4,2)</f>
        <v>44653</v>
      </c>
      <c r="E32">
        <v>7.3</v>
      </c>
      <c r="F32">
        <v>0</v>
      </c>
      <c r="G32" s="16"/>
    </row>
    <row r="33" spans="1:6" x14ac:dyDescent="0.2">
      <c r="A33" t="s">
        <v>615</v>
      </c>
      <c r="B33" t="s">
        <v>571</v>
      </c>
      <c r="C33">
        <v>23</v>
      </c>
      <c r="D33" s="4">
        <f>DATE(2022,8,13)</f>
        <v>44786</v>
      </c>
      <c r="E33">
        <v>7.5</v>
      </c>
      <c r="F33">
        <v>0</v>
      </c>
    </row>
    <row r="34" spans="1:6" x14ac:dyDescent="0.2">
      <c r="A34" t="s">
        <v>615</v>
      </c>
      <c r="B34" t="s">
        <v>877</v>
      </c>
      <c r="C34">
        <v>11</v>
      </c>
      <c r="D34" s="4">
        <f>DATE(2021,5,5)</f>
        <v>44321</v>
      </c>
      <c r="E34">
        <v>3.6</v>
      </c>
      <c r="F34">
        <v>0</v>
      </c>
    </row>
    <row r="35" spans="1:6" x14ac:dyDescent="0.2">
      <c r="A35" t="s">
        <v>693</v>
      </c>
      <c r="B35" t="s">
        <v>741</v>
      </c>
      <c r="C35">
        <v>11</v>
      </c>
      <c r="D35" s="17">
        <f>DATE(2021,5,15)</f>
        <v>44331</v>
      </c>
      <c r="E35">
        <v>3.2</v>
      </c>
      <c r="F35">
        <v>0</v>
      </c>
    </row>
    <row r="36" spans="1:6" x14ac:dyDescent="0.2">
      <c r="A36" t="s">
        <v>693</v>
      </c>
      <c r="B36" t="s">
        <v>878</v>
      </c>
      <c r="C36">
        <v>11</v>
      </c>
      <c r="D36" s="17">
        <f>DATE(2021,5,15)</f>
        <v>44331</v>
      </c>
      <c r="E36">
        <v>5.0999999999999996</v>
      </c>
      <c r="F36">
        <v>0</v>
      </c>
    </row>
    <row r="37" spans="1:6" x14ac:dyDescent="0.2">
      <c r="A37" t="s">
        <v>693</v>
      </c>
      <c r="B37" t="s">
        <v>692</v>
      </c>
      <c r="C37">
        <v>20</v>
      </c>
      <c r="D37" s="17">
        <f>DATE(2021,5,14)</f>
        <v>44330</v>
      </c>
      <c r="E37">
        <v>5.2</v>
      </c>
      <c r="F37">
        <v>0</v>
      </c>
    </row>
    <row r="38" spans="1:6" x14ac:dyDescent="0.2">
      <c r="A38" t="s">
        <v>610</v>
      </c>
      <c r="B38" t="s">
        <v>933</v>
      </c>
      <c r="C38">
        <v>16</v>
      </c>
      <c r="D38" s="4">
        <f>DATE(2022,8,23)</f>
        <v>44796</v>
      </c>
      <c r="E38">
        <v>5.0999999999999996</v>
      </c>
      <c r="F38">
        <v>0</v>
      </c>
    </row>
    <row r="39" spans="1:6" x14ac:dyDescent="0.2">
      <c r="A39" t="s">
        <v>610</v>
      </c>
      <c r="B39" t="s">
        <v>563</v>
      </c>
      <c r="C39">
        <v>10</v>
      </c>
      <c r="D39" s="4">
        <f>DATE(2022,8,30)</f>
        <v>44803</v>
      </c>
      <c r="E39">
        <v>4.3</v>
      </c>
      <c r="F39">
        <v>0</v>
      </c>
    </row>
    <row r="40" spans="1:6" x14ac:dyDescent="0.2">
      <c r="A40" t="s">
        <v>610</v>
      </c>
      <c r="B40" t="s">
        <v>630</v>
      </c>
      <c r="C40">
        <v>12</v>
      </c>
      <c r="D40" s="4">
        <f>DATE(2022,8,24)</f>
        <v>44797</v>
      </c>
      <c r="E40">
        <v>2.8</v>
      </c>
      <c r="F40">
        <v>0</v>
      </c>
    </row>
    <row r="41" spans="1:6" x14ac:dyDescent="0.2">
      <c r="A41" t="s">
        <v>610</v>
      </c>
      <c r="B41" t="s">
        <v>745</v>
      </c>
      <c r="C41">
        <v>15</v>
      </c>
      <c r="D41" s="4">
        <f>DATE(2022,8,23)</f>
        <v>44796</v>
      </c>
      <c r="E41">
        <v>3.7</v>
      </c>
      <c r="F41">
        <v>0</v>
      </c>
    </row>
    <row r="42" spans="1:6" x14ac:dyDescent="0.2">
      <c r="A42" t="s">
        <v>612</v>
      </c>
      <c r="B42" t="s">
        <v>565</v>
      </c>
      <c r="C42">
        <v>47</v>
      </c>
      <c r="D42" s="4">
        <f>DATE(2024,9,19)</f>
        <v>45554</v>
      </c>
      <c r="E42">
        <v>18.100000000000001</v>
      </c>
      <c r="F42">
        <v>0</v>
      </c>
    </row>
    <row r="43" spans="1:6" x14ac:dyDescent="0.2">
      <c r="A43" s="2" t="s">
        <v>616</v>
      </c>
      <c r="B43" s="2" t="s">
        <v>727</v>
      </c>
      <c r="C43" s="2">
        <v>10</v>
      </c>
      <c r="D43" s="17">
        <f>DATE(2021,10,26)</f>
        <v>44495</v>
      </c>
      <c r="E43" s="2">
        <v>3.9</v>
      </c>
      <c r="F43">
        <v>0</v>
      </c>
    </row>
    <row r="44" spans="1:6" x14ac:dyDescent="0.2">
      <c r="A44" s="2" t="s">
        <v>616</v>
      </c>
      <c r="B44" s="2" t="s">
        <v>580</v>
      </c>
      <c r="C44" s="2">
        <v>28</v>
      </c>
      <c r="D44" s="17">
        <f>DATE(2021,10,26)</f>
        <v>44495</v>
      </c>
      <c r="E44" s="2">
        <v>7.9</v>
      </c>
      <c r="F44">
        <v>0</v>
      </c>
    </row>
    <row r="45" spans="1:6" x14ac:dyDescent="0.2">
      <c r="A45" s="2" t="s">
        <v>616</v>
      </c>
      <c r="B45" s="2" t="s">
        <v>572</v>
      </c>
      <c r="C45" s="2">
        <v>39</v>
      </c>
      <c r="D45" s="17">
        <f>DATE(2021,10,27)</f>
        <v>44496</v>
      </c>
      <c r="E45" s="2">
        <v>12.4</v>
      </c>
      <c r="F45">
        <v>0</v>
      </c>
    </row>
    <row r="46" spans="1:6" x14ac:dyDescent="0.2">
      <c r="A46" t="s">
        <v>614</v>
      </c>
      <c r="B46" t="s">
        <v>570</v>
      </c>
      <c r="C46">
        <v>22</v>
      </c>
      <c r="D46" s="4">
        <f>DATE(2023,5,18)</f>
        <v>45064</v>
      </c>
      <c r="E46">
        <v>4</v>
      </c>
      <c r="F46">
        <v>0</v>
      </c>
    </row>
    <row r="47" spans="1:6" x14ac:dyDescent="0.2">
      <c r="A47" t="s">
        <v>614</v>
      </c>
      <c r="B47" t="s">
        <v>681</v>
      </c>
      <c r="C47">
        <v>29</v>
      </c>
      <c r="D47" s="4">
        <f>DATE(2023,5,18)</f>
        <v>45064</v>
      </c>
      <c r="E47">
        <v>2.4</v>
      </c>
      <c r="F47">
        <v>0</v>
      </c>
    </row>
    <row r="48" spans="1:6" x14ac:dyDescent="0.2">
      <c r="A48" t="s">
        <v>614</v>
      </c>
      <c r="B48" t="s">
        <v>596</v>
      </c>
      <c r="C48">
        <v>12</v>
      </c>
      <c r="D48" s="4">
        <f>DATE(2021,5,1)</f>
        <v>44317</v>
      </c>
      <c r="E48">
        <v>3.1</v>
      </c>
      <c r="F48">
        <v>0</v>
      </c>
    </row>
    <row r="49" spans="1:6" x14ac:dyDescent="0.2">
      <c r="A49" t="s">
        <v>715</v>
      </c>
      <c r="B49" t="s">
        <v>728</v>
      </c>
      <c r="C49">
        <v>12</v>
      </c>
      <c r="D49" s="4">
        <f>DATE(2024,9,22)</f>
        <v>45557</v>
      </c>
      <c r="E49">
        <v>5.6</v>
      </c>
      <c r="F49">
        <v>0</v>
      </c>
    </row>
    <row r="50" spans="1:6" x14ac:dyDescent="0.2">
      <c r="A50" t="s">
        <v>715</v>
      </c>
      <c r="B50" t="s">
        <v>716</v>
      </c>
      <c r="C50">
        <v>9</v>
      </c>
      <c r="D50" s="4">
        <f>DATE(2024,9,21)</f>
        <v>45556</v>
      </c>
      <c r="E50">
        <v>4</v>
      </c>
      <c r="F50">
        <v>0</v>
      </c>
    </row>
    <row r="51" spans="1:6" x14ac:dyDescent="0.2">
      <c r="A51" s="2" t="s">
        <v>638</v>
      </c>
      <c r="B51" s="2" t="s">
        <v>707</v>
      </c>
      <c r="C51" s="2">
        <v>18</v>
      </c>
      <c r="D51" s="17">
        <f>DATE(2021,10,24)</f>
        <v>44493</v>
      </c>
      <c r="E51" s="2">
        <v>3.2</v>
      </c>
      <c r="F51">
        <v>0</v>
      </c>
    </row>
    <row r="52" spans="1:6" x14ac:dyDescent="0.2">
      <c r="A52" s="2" t="s">
        <v>638</v>
      </c>
      <c r="B52" s="2" t="s">
        <v>637</v>
      </c>
      <c r="C52" s="2">
        <v>21</v>
      </c>
      <c r="D52" s="17">
        <f>DATE(2021,10,24)</f>
        <v>44493</v>
      </c>
      <c r="E52" s="2">
        <v>6.6</v>
      </c>
      <c r="F52">
        <v>0</v>
      </c>
    </row>
    <row r="53" spans="1:6" x14ac:dyDescent="0.2">
      <c r="A53" t="s">
        <v>699</v>
      </c>
      <c r="B53" t="s">
        <v>746</v>
      </c>
      <c r="C53">
        <v>6</v>
      </c>
      <c r="D53" s="4">
        <f>DATE(2021,9,5)</f>
        <v>44444</v>
      </c>
      <c r="E53">
        <v>1</v>
      </c>
      <c r="F53">
        <v>0</v>
      </c>
    </row>
    <row r="54" spans="1:6" x14ac:dyDescent="0.2">
      <c r="A54" t="s">
        <v>699</v>
      </c>
      <c r="B54" t="s">
        <v>700</v>
      </c>
      <c r="C54">
        <v>6</v>
      </c>
      <c r="D54" s="17">
        <f>DATE(2021,5,14)</f>
        <v>44330</v>
      </c>
      <c r="E54">
        <v>1.8</v>
      </c>
      <c r="F54">
        <v>0</v>
      </c>
    </row>
    <row r="55" spans="1:6" x14ac:dyDescent="0.2">
      <c r="A55" t="s">
        <v>703</v>
      </c>
      <c r="B55" t="s">
        <v>704</v>
      </c>
      <c r="C55">
        <v>15</v>
      </c>
      <c r="D55" s="17">
        <f>DATE(2021,5,11)</f>
        <v>44327</v>
      </c>
      <c r="E55">
        <v>3.6</v>
      </c>
      <c r="F55">
        <v>0</v>
      </c>
    </row>
    <row r="56" spans="1:6" x14ac:dyDescent="0.2">
      <c r="A56" t="s">
        <v>649</v>
      </c>
      <c r="B56" t="s">
        <v>648</v>
      </c>
      <c r="C56">
        <v>19</v>
      </c>
      <c r="D56" s="4">
        <f>DATE(2022,9,26)</f>
        <v>44830</v>
      </c>
      <c r="E56">
        <v>8.6</v>
      </c>
      <c r="F56">
        <v>0</v>
      </c>
    </row>
    <row r="57" spans="1:6" x14ac:dyDescent="0.2">
      <c r="A57" t="s">
        <v>649</v>
      </c>
      <c r="B57" t="s">
        <v>726</v>
      </c>
      <c r="C57">
        <v>23</v>
      </c>
      <c r="D57" s="4">
        <f>DATE(2022,9,24)</f>
        <v>44828</v>
      </c>
      <c r="E57">
        <v>10.3</v>
      </c>
      <c r="F57">
        <v>0</v>
      </c>
    </row>
    <row r="58" spans="1:6" x14ac:dyDescent="0.2">
      <c r="A58" t="s">
        <v>649</v>
      </c>
      <c r="B58" t="s">
        <v>970</v>
      </c>
      <c r="C58">
        <v>14</v>
      </c>
      <c r="D58" s="4">
        <f>DATE(2022,9,25)</f>
        <v>44829</v>
      </c>
      <c r="E58">
        <v>3.5</v>
      </c>
      <c r="F58">
        <v>0</v>
      </c>
    </row>
    <row r="59" spans="1:6" x14ac:dyDescent="0.2">
      <c r="A59" t="s">
        <v>618</v>
      </c>
      <c r="B59" t="s">
        <v>578</v>
      </c>
      <c r="C59">
        <v>39</v>
      </c>
      <c r="D59" s="4">
        <f>DATE(2021,6,16)</f>
        <v>44363</v>
      </c>
      <c r="E59">
        <v>8.6999999999999993</v>
      </c>
      <c r="F59">
        <v>0</v>
      </c>
    </row>
    <row r="60" spans="1:6" x14ac:dyDescent="0.2">
      <c r="A60" t="s">
        <v>588</v>
      </c>
      <c r="B60" t="s">
        <v>652</v>
      </c>
      <c r="C60">
        <v>24</v>
      </c>
      <c r="D60" s="17">
        <f>DATE(2021,5,11)</f>
        <v>44327</v>
      </c>
      <c r="E60">
        <v>5.0999999999999996</v>
      </c>
      <c r="F60">
        <v>0</v>
      </c>
    </row>
    <row r="61" spans="1:6" x14ac:dyDescent="0.2">
      <c r="A61" t="s">
        <v>588</v>
      </c>
      <c r="B61" t="s">
        <v>633</v>
      </c>
      <c r="C61">
        <v>20</v>
      </c>
      <c r="D61" s="17">
        <f>DATE(2021,5,20)</f>
        <v>44336</v>
      </c>
      <c r="E61">
        <v>7.3</v>
      </c>
      <c r="F61">
        <v>0</v>
      </c>
    </row>
    <row r="62" spans="1:6" x14ac:dyDescent="0.2">
      <c r="A62" t="s">
        <v>588</v>
      </c>
      <c r="B62" t="s">
        <v>550</v>
      </c>
      <c r="C62">
        <v>120</v>
      </c>
      <c r="D62" s="4">
        <f>DATE(2021,11,12)</f>
        <v>44512</v>
      </c>
      <c r="E62">
        <v>56.900000000000006</v>
      </c>
      <c r="F62">
        <v>0</v>
      </c>
    </row>
    <row r="63" spans="1:6" x14ac:dyDescent="0.2">
      <c r="A63" t="s">
        <v>588</v>
      </c>
      <c r="B63" t="s">
        <v>636</v>
      </c>
      <c r="C63">
        <v>19</v>
      </c>
      <c r="D63" s="17">
        <f>DATE(2021,5,19)</f>
        <v>44335</v>
      </c>
      <c r="E63">
        <v>3.5</v>
      </c>
      <c r="F63">
        <v>0</v>
      </c>
    </row>
    <row r="64" spans="1:6" x14ac:dyDescent="0.2">
      <c r="A64" s="2" t="s">
        <v>619</v>
      </c>
      <c r="B64" s="2" t="s">
        <v>579</v>
      </c>
      <c r="C64" s="2">
        <v>18</v>
      </c>
      <c r="D64" s="17">
        <f>DATE(2021,10,20)</f>
        <v>44489</v>
      </c>
      <c r="E64" s="2">
        <v>4.7</v>
      </c>
      <c r="F64">
        <v>0</v>
      </c>
    </row>
    <row r="65" spans="1:6" x14ac:dyDescent="0.2">
      <c r="A65" t="s">
        <v>619</v>
      </c>
      <c r="B65" t="s">
        <v>583</v>
      </c>
      <c r="C65">
        <v>27</v>
      </c>
      <c r="D65" s="4">
        <f>DATE(2022,8,22)</f>
        <v>44795</v>
      </c>
      <c r="E65">
        <v>6.5</v>
      </c>
      <c r="F65">
        <v>0</v>
      </c>
    </row>
    <row r="66" spans="1:6" x14ac:dyDescent="0.2">
      <c r="A66" s="2" t="s">
        <v>619</v>
      </c>
      <c r="B66" s="2" t="s">
        <v>581</v>
      </c>
      <c r="C66" s="2">
        <v>21</v>
      </c>
      <c r="D66" s="17">
        <f>DATE(2021,10,19)</f>
        <v>44488</v>
      </c>
      <c r="E66" s="2">
        <v>10.6</v>
      </c>
      <c r="F66">
        <v>0</v>
      </c>
    </row>
    <row r="67" spans="1:6" x14ac:dyDescent="0.2">
      <c r="A67" t="s">
        <v>604</v>
      </c>
      <c r="B67" t="s">
        <v>682</v>
      </c>
      <c r="C67">
        <v>25</v>
      </c>
      <c r="D67" s="17">
        <f>DATE(2021,5,21)</f>
        <v>44337</v>
      </c>
      <c r="E67">
        <v>7.7</v>
      </c>
      <c r="F67">
        <v>0</v>
      </c>
    </row>
    <row r="68" spans="1:6" x14ac:dyDescent="0.2">
      <c r="A68" t="s">
        <v>604</v>
      </c>
      <c r="B68" t="s">
        <v>558</v>
      </c>
      <c r="C68">
        <v>67</v>
      </c>
      <c r="D68" s="4">
        <f>DATE(2022,7,7)</f>
        <v>44749</v>
      </c>
      <c r="E68">
        <v>26.2</v>
      </c>
      <c r="F68">
        <v>0</v>
      </c>
    </row>
    <row r="69" spans="1:6" x14ac:dyDescent="0.2">
      <c r="A69" t="s">
        <v>604</v>
      </c>
      <c r="B69" t="s">
        <v>577</v>
      </c>
      <c r="C69">
        <v>25</v>
      </c>
      <c r="D69" s="4">
        <f>DATE(2022,8,31)</f>
        <v>44804</v>
      </c>
      <c r="E69">
        <v>7.7</v>
      </c>
      <c r="F69">
        <v>0</v>
      </c>
    </row>
    <row r="70" spans="1:6" x14ac:dyDescent="0.2">
      <c r="A70" t="s">
        <v>734</v>
      </c>
      <c r="B70" t="s">
        <v>733</v>
      </c>
      <c r="C70">
        <v>117</v>
      </c>
      <c r="D70" s="4">
        <f>DATE(2025,1,10)</f>
        <v>45667</v>
      </c>
      <c r="E70">
        <v>32</v>
      </c>
      <c r="F70">
        <v>0</v>
      </c>
    </row>
    <row r="71" spans="1:6" x14ac:dyDescent="0.2">
      <c r="A71" t="s">
        <v>623</v>
      </c>
      <c r="B71" t="s">
        <v>594</v>
      </c>
      <c r="C71">
        <v>17</v>
      </c>
      <c r="D71" s="17">
        <f>DATE(2021,5,13)</f>
        <v>44329</v>
      </c>
      <c r="E71">
        <v>4.5</v>
      </c>
      <c r="F71">
        <v>0</v>
      </c>
    </row>
    <row r="72" spans="1:6" x14ac:dyDescent="0.2">
      <c r="A72" t="s">
        <v>642</v>
      </c>
      <c r="B72" t="s">
        <v>658</v>
      </c>
      <c r="C72">
        <v>34</v>
      </c>
      <c r="D72" s="4">
        <f>DATE(2023,5,17)</f>
        <v>45063</v>
      </c>
      <c r="E72">
        <v>5</v>
      </c>
      <c r="F72">
        <v>0</v>
      </c>
    </row>
    <row r="73" spans="1:6" x14ac:dyDescent="0.2">
      <c r="A73" t="s">
        <v>642</v>
      </c>
      <c r="B73" t="s">
        <v>657</v>
      </c>
      <c r="C73">
        <v>15</v>
      </c>
      <c r="D73" s="4">
        <f>DATE(2023,5,17)</f>
        <v>45063</v>
      </c>
      <c r="E73">
        <v>2.6</v>
      </c>
      <c r="F73">
        <v>0</v>
      </c>
    </row>
    <row r="74" spans="1:6" x14ac:dyDescent="0.2">
      <c r="A74" t="s">
        <v>712</v>
      </c>
      <c r="B74" t="s">
        <v>748</v>
      </c>
      <c r="C74">
        <v>9</v>
      </c>
      <c r="D74" s="4">
        <f>DATE(2024,9,24)</f>
        <v>45559</v>
      </c>
      <c r="E74">
        <v>3.3</v>
      </c>
      <c r="F74">
        <v>0</v>
      </c>
    </row>
    <row r="75" spans="1:6" x14ac:dyDescent="0.2">
      <c r="A75" t="s">
        <v>712</v>
      </c>
      <c r="B75" t="s">
        <v>858</v>
      </c>
      <c r="C75">
        <v>29</v>
      </c>
      <c r="D75" s="4">
        <f>DATE(2024,9,23)</f>
        <v>45558</v>
      </c>
      <c r="E75">
        <v>7.1</v>
      </c>
      <c r="F75">
        <v>0</v>
      </c>
    </row>
    <row r="76" spans="1:6" x14ac:dyDescent="0.2">
      <c r="A76" t="s">
        <v>712</v>
      </c>
      <c r="B76" t="s">
        <v>713</v>
      </c>
      <c r="C76">
        <v>18</v>
      </c>
      <c r="D76" s="4">
        <f>DATE(2024,9,25)</f>
        <v>45560</v>
      </c>
      <c r="E76">
        <v>2.1</v>
      </c>
      <c r="F76">
        <v>0</v>
      </c>
    </row>
    <row r="77" spans="1:6" x14ac:dyDescent="0.2">
      <c r="A77" t="s">
        <v>621</v>
      </c>
      <c r="B77" t="s">
        <v>646</v>
      </c>
      <c r="C77">
        <v>25</v>
      </c>
      <c r="D77" s="4">
        <f>DATE(2023,5,13)</f>
        <v>45059</v>
      </c>
      <c r="E77">
        <v>9.4</v>
      </c>
      <c r="F77">
        <v>0</v>
      </c>
    </row>
    <row r="78" spans="1:6" x14ac:dyDescent="0.2">
      <c r="A78" t="s">
        <v>621</v>
      </c>
      <c r="B78" t="s">
        <v>584</v>
      </c>
      <c r="C78">
        <v>33</v>
      </c>
      <c r="D78" s="4">
        <f>DATE(2023,5,14)</f>
        <v>45060</v>
      </c>
      <c r="E78">
        <v>5.7</v>
      </c>
      <c r="F78">
        <v>0</v>
      </c>
    </row>
    <row r="79" spans="1:6" x14ac:dyDescent="0.2">
      <c r="A79" t="s">
        <v>622</v>
      </c>
      <c r="B79" t="s">
        <v>857</v>
      </c>
      <c r="C79">
        <v>28</v>
      </c>
      <c r="D79" s="4">
        <f>DATE(2021,10,10)</f>
        <v>44479</v>
      </c>
      <c r="E79">
        <v>6.1</v>
      </c>
      <c r="F79">
        <v>0</v>
      </c>
    </row>
    <row r="80" spans="1:6" x14ac:dyDescent="0.2">
      <c r="A80" t="s">
        <v>622</v>
      </c>
      <c r="B80" t="s">
        <v>599</v>
      </c>
      <c r="C80">
        <v>22</v>
      </c>
      <c r="D80" s="4">
        <f>DATE(2023,5,19)</f>
        <v>45065</v>
      </c>
      <c r="E80">
        <v>9</v>
      </c>
      <c r="F80">
        <v>0</v>
      </c>
    </row>
    <row r="81" spans="1:6" x14ac:dyDescent="0.2">
      <c r="A81" t="s">
        <v>622</v>
      </c>
      <c r="B81" t="s">
        <v>592</v>
      </c>
      <c r="C81">
        <v>26</v>
      </c>
      <c r="D81" s="4">
        <f>DATE(2021,10,9)</f>
        <v>44478</v>
      </c>
      <c r="E81">
        <v>4.7</v>
      </c>
      <c r="F81">
        <v>0</v>
      </c>
    </row>
    <row r="82" spans="1:6" x14ac:dyDescent="0.2">
      <c r="A82" t="s">
        <v>718</v>
      </c>
      <c r="B82" t="s">
        <v>719</v>
      </c>
      <c r="C82">
        <v>9</v>
      </c>
      <c r="D82" s="17">
        <f>DATE(2021,5,18)</f>
        <v>44334</v>
      </c>
      <c r="E82">
        <v>4.8</v>
      </c>
      <c r="F82">
        <v>0</v>
      </c>
    </row>
    <row r="83" spans="1:6" x14ac:dyDescent="0.2">
      <c r="A83" t="s">
        <v>718</v>
      </c>
      <c r="B83" t="s">
        <v>751</v>
      </c>
      <c r="C83">
        <v>12</v>
      </c>
      <c r="D83" s="17">
        <f>DATE(2021,5,16)</f>
        <v>44332</v>
      </c>
      <c r="E83">
        <v>2.7</v>
      </c>
      <c r="F83">
        <v>0</v>
      </c>
    </row>
    <row r="84" spans="1:6" x14ac:dyDescent="0.2">
      <c r="A84" t="s">
        <v>624</v>
      </c>
      <c r="B84" t="s">
        <v>711</v>
      </c>
      <c r="C84">
        <v>7</v>
      </c>
      <c r="D84" s="4">
        <f>DATE(2022,8,28)</f>
        <v>44801</v>
      </c>
      <c r="E84">
        <v>3.3</v>
      </c>
      <c r="F84">
        <v>0</v>
      </c>
    </row>
    <row r="85" spans="1:6" x14ac:dyDescent="0.2">
      <c r="A85" t="s">
        <v>624</v>
      </c>
      <c r="B85" t="s">
        <v>673</v>
      </c>
      <c r="C85">
        <v>23</v>
      </c>
      <c r="D85" s="4">
        <f>DATE(2022,8,27)</f>
        <v>44800</v>
      </c>
      <c r="E85">
        <v>8.9</v>
      </c>
      <c r="F85">
        <v>0</v>
      </c>
    </row>
    <row r="86" spans="1:6" x14ac:dyDescent="0.2">
      <c r="A86" t="s">
        <v>624</v>
      </c>
      <c r="B86" t="s">
        <v>595</v>
      </c>
      <c r="C86">
        <v>18</v>
      </c>
      <c r="D86" s="4">
        <f>DATE(2022,8,27)</f>
        <v>44800</v>
      </c>
      <c r="E86">
        <v>5.6</v>
      </c>
      <c r="F86">
        <v>0</v>
      </c>
    </row>
    <row r="87" spans="1:6" x14ac:dyDescent="0.2">
      <c r="A87" s="2" t="s">
        <v>705</v>
      </c>
      <c r="B87" s="2" t="s">
        <v>721</v>
      </c>
      <c r="C87" s="2">
        <v>22</v>
      </c>
      <c r="D87" s="17">
        <f>DATE(2021,10,30)</f>
        <v>44499</v>
      </c>
      <c r="E87" s="2">
        <v>3.4</v>
      </c>
      <c r="F87">
        <v>0</v>
      </c>
    </row>
    <row r="88" spans="1:6" x14ac:dyDescent="0.2">
      <c r="A88" t="s">
        <v>705</v>
      </c>
      <c r="B88" t="s">
        <v>896</v>
      </c>
      <c r="C88">
        <v>12</v>
      </c>
      <c r="D88" s="4">
        <f>DATE(2021,10,18)</f>
        <v>44487</v>
      </c>
      <c r="E88">
        <v>3.3</v>
      </c>
      <c r="F88">
        <v>0</v>
      </c>
    </row>
    <row r="89" spans="1:6" x14ac:dyDescent="0.2">
      <c r="A89" t="s">
        <v>607</v>
      </c>
      <c r="B89" t="s">
        <v>573</v>
      </c>
      <c r="F89">
        <v>1</v>
      </c>
    </row>
    <row r="90" spans="1:6" x14ac:dyDescent="0.2">
      <c r="A90" t="s">
        <v>605</v>
      </c>
      <c r="B90" t="s">
        <v>559</v>
      </c>
      <c r="F90">
        <v>1</v>
      </c>
    </row>
    <row r="91" spans="1:6" x14ac:dyDescent="0.2">
      <c r="A91" t="s">
        <v>607</v>
      </c>
      <c r="B91" t="s">
        <v>574</v>
      </c>
      <c r="F91">
        <v>1</v>
      </c>
    </row>
    <row r="92" spans="1:6" x14ac:dyDescent="0.2">
      <c r="A92" t="s">
        <v>589</v>
      </c>
      <c r="B92" t="s">
        <v>576</v>
      </c>
      <c r="F92">
        <v>1</v>
      </c>
    </row>
    <row r="93" spans="1:6" x14ac:dyDescent="0.2">
      <c r="A93" t="s">
        <v>607</v>
      </c>
      <c r="B93" t="s">
        <v>553</v>
      </c>
      <c r="F93">
        <v>1</v>
      </c>
    </row>
    <row r="94" spans="1:6" x14ac:dyDescent="0.2">
      <c r="A94" t="s">
        <v>611</v>
      </c>
      <c r="B94" t="s">
        <v>564</v>
      </c>
      <c r="F94">
        <v>1</v>
      </c>
    </row>
    <row r="95" spans="1:6" x14ac:dyDescent="0.2">
      <c r="A95" t="s">
        <v>617</v>
      </c>
      <c r="B95" t="s">
        <v>575</v>
      </c>
      <c r="F95">
        <v>1</v>
      </c>
    </row>
    <row r="96" spans="1:6" x14ac:dyDescent="0.2">
      <c r="A96" t="s">
        <v>607</v>
      </c>
      <c r="B96" t="s">
        <v>554</v>
      </c>
      <c r="F96">
        <v>1</v>
      </c>
    </row>
    <row r="97" spans="1:6" x14ac:dyDescent="0.2">
      <c r="A97" t="s">
        <v>589</v>
      </c>
      <c r="B97" t="s">
        <v>562</v>
      </c>
      <c r="F97">
        <v>1</v>
      </c>
    </row>
    <row r="98" spans="1:6" x14ac:dyDescent="0.2">
      <c r="A98" t="s">
        <v>589</v>
      </c>
      <c r="B98" t="s">
        <v>865</v>
      </c>
      <c r="F98">
        <v>1</v>
      </c>
    </row>
    <row r="99" spans="1:6" x14ac:dyDescent="0.2">
      <c r="A99" t="s">
        <v>684</v>
      </c>
      <c r="B99" t="s">
        <v>683</v>
      </c>
      <c r="F99">
        <v>1</v>
      </c>
    </row>
    <row r="100" spans="1:6" x14ac:dyDescent="0.2">
      <c r="A100" t="s">
        <v>607</v>
      </c>
      <c r="B100" t="s">
        <v>656</v>
      </c>
      <c r="F100">
        <v>1</v>
      </c>
    </row>
    <row r="101" spans="1:6" x14ac:dyDescent="0.2">
      <c r="A101" t="s">
        <v>645</v>
      </c>
      <c r="B101" t="s">
        <v>654</v>
      </c>
      <c r="F101">
        <v>1</v>
      </c>
    </row>
  </sheetData>
  <sortState xmlns:xlrd2="http://schemas.microsoft.com/office/spreadsheetml/2017/richdata2" ref="A2:E88">
    <sortCondition ref="A2:A88"/>
    <sortCondition ref="B2:B88"/>
  </sortState>
  <conditionalFormatting sqref="I1:I10 I12:I1048576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812C-866A-0544-AE9F-235DC4187F8D}">
  <dimension ref="A1:E150"/>
  <sheetViews>
    <sheetView tabSelected="1" workbookViewId="0">
      <pane xSplit="2" ySplit="1" topLeftCell="C114" activePane="bottomRight" state="frozen"/>
      <selection pane="topRight" activeCell="C1" sqref="C1"/>
      <selection pane="bottomLeft" activeCell="A2" sqref="A2"/>
      <selection pane="bottomRight" activeCell="C147" sqref="C147"/>
    </sheetView>
  </sheetViews>
  <sheetFormatPr baseColWidth="10" defaultRowHeight="16" x14ac:dyDescent="0.2"/>
  <cols>
    <col min="1" max="1" width="18" bestFit="1" customWidth="1"/>
    <col min="2" max="2" width="7.6640625" bestFit="1" customWidth="1"/>
    <col min="3" max="3" width="12.83203125" style="21" bestFit="1" customWidth="1"/>
    <col min="4" max="4" width="11.1640625" style="21" bestFit="1" customWidth="1"/>
  </cols>
  <sheetData>
    <row r="1" spans="1:5" x14ac:dyDescent="0.2">
      <c r="A1" s="2" t="s">
        <v>549</v>
      </c>
      <c r="B1" s="2" t="s">
        <v>587</v>
      </c>
      <c r="C1" s="22" t="s">
        <v>1133</v>
      </c>
      <c r="D1" s="22" t="s">
        <v>1134</v>
      </c>
      <c r="E1" t="s">
        <v>1193</v>
      </c>
    </row>
    <row r="2" spans="1:5" x14ac:dyDescent="0.2">
      <c r="A2" s="2" t="s">
        <v>702</v>
      </c>
      <c r="B2" s="2" t="s">
        <v>701</v>
      </c>
      <c r="C2" s="22">
        <v>-149.9002778</v>
      </c>
      <c r="D2" s="22">
        <v>61.2180556</v>
      </c>
      <c r="E2">
        <v>101</v>
      </c>
    </row>
    <row r="3" spans="1:5" x14ac:dyDescent="0.2">
      <c r="A3" s="2" t="s">
        <v>859</v>
      </c>
      <c r="B3" s="2" t="s">
        <v>701</v>
      </c>
      <c r="C3" s="22">
        <v>-147.72305600000001</v>
      </c>
      <c r="D3" s="22">
        <v>64.843610999999996</v>
      </c>
      <c r="E3">
        <v>446</v>
      </c>
    </row>
    <row r="4" spans="1:5" x14ac:dyDescent="0.2">
      <c r="A4" s="2" t="s">
        <v>737</v>
      </c>
      <c r="B4" s="2" t="s">
        <v>701</v>
      </c>
      <c r="C4" s="22">
        <v>-134.42161300000001</v>
      </c>
      <c r="D4" s="22">
        <v>58.301448999999998</v>
      </c>
      <c r="E4">
        <v>55</v>
      </c>
    </row>
    <row r="5" spans="1:5" x14ac:dyDescent="0.2">
      <c r="A5" s="2" t="s">
        <v>602</v>
      </c>
      <c r="B5" s="2" t="s">
        <v>628</v>
      </c>
      <c r="C5" s="22">
        <v>-86.8103567</v>
      </c>
      <c r="D5" s="22">
        <v>33.518589200000001</v>
      </c>
      <c r="E5">
        <v>613</v>
      </c>
    </row>
    <row r="6" spans="1:5" x14ac:dyDescent="0.2">
      <c r="A6" s="2" t="s">
        <v>708</v>
      </c>
      <c r="B6" s="2" t="s">
        <v>628</v>
      </c>
      <c r="C6" s="22">
        <v>-86.307736800000001</v>
      </c>
      <c r="D6" s="22">
        <v>32.3792233</v>
      </c>
      <c r="E6">
        <v>239</v>
      </c>
    </row>
    <row r="7" spans="1:5" x14ac:dyDescent="0.2">
      <c r="A7" s="2" t="s">
        <v>855</v>
      </c>
      <c r="B7" s="2" t="s">
        <v>667</v>
      </c>
      <c r="C7" s="22">
        <v>-92.289594800000003</v>
      </c>
      <c r="D7" s="22">
        <v>34.746480900000002</v>
      </c>
      <c r="E7">
        <v>334</v>
      </c>
    </row>
    <row r="8" spans="1:5" x14ac:dyDescent="0.2">
      <c r="A8" s="2" t="s">
        <v>866</v>
      </c>
      <c r="B8" s="2" t="s">
        <v>605</v>
      </c>
      <c r="C8" s="22">
        <v>-111.62</v>
      </c>
      <c r="D8" s="22">
        <v>35.180556000000003</v>
      </c>
      <c r="E8">
        <v>6902</v>
      </c>
    </row>
    <row r="9" spans="1:5" x14ac:dyDescent="0.2">
      <c r="A9" s="2" t="s">
        <v>559</v>
      </c>
      <c r="B9" s="2" t="s">
        <v>605</v>
      </c>
      <c r="C9" s="22">
        <v>-112.0740373</v>
      </c>
      <c r="D9" s="22">
        <v>33.448377100000002</v>
      </c>
      <c r="E9">
        <v>1085</v>
      </c>
    </row>
    <row r="10" spans="1:5" x14ac:dyDescent="0.2">
      <c r="A10" s="2" t="s">
        <v>634</v>
      </c>
      <c r="B10" s="2" t="s">
        <v>605</v>
      </c>
      <c r="C10" s="22">
        <v>-110.9747108</v>
      </c>
      <c r="D10" s="22">
        <v>32.222606599999999</v>
      </c>
      <c r="E10">
        <v>2490</v>
      </c>
    </row>
    <row r="11" spans="1:5" x14ac:dyDescent="0.2">
      <c r="A11" s="2" t="s">
        <v>964</v>
      </c>
      <c r="B11" s="2" t="s">
        <v>589</v>
      </c>
      <c r="C11" s="22">
        <v>-124.163611</v>
      </c>
      <c r="D11" s="22">
        <v>40.801943999999999</v>
      </c>
      <c r="E11">
        <v>49</v>
      </c>
    </row>
    <row r="12" spans="1:5" x14ac:dyDescent="0.2">
      <c r="A12" s="2" t="s">
        <v>629</v>
      </c>
      <c r="B12" s="2" t="s">
        <v>589</v>
      </c>
      <c r="C12" s="22">
        <v>-119.78712470000001</v>
      </c>
      <c r="D12" s="22">
        <v>36.737798099999999</v>
      </c>
      <c r="E12">
        <v>308</v>
      </c>
    </row>
    <row r="13" spans="1:5" x14ac:dyDescent="0.2">
      <c r="A13" s="2" t="s">
        <v>551</v>
      </c>
      <c r="B13" s="2" t="s">
        <v>589</v>
      </c>
      <c r="C13" s="22">
        <v>-118.24368490000001</v>
      </c>
      <c r="D13" s="22">
        <v>34.052234200000001</v>
      </c>
      <c r="E13">
        <v>314</v>
      </c>
    </row>
    <row r="14" spans="1:5" x14ac:dyDescent="0.2">
      <c r="A14" s="2" t="s">
        <v>1185</v>
      </c>
      <c r="B14" s="2" t="s">
        <v>589</v>
      </c>
      <c r="C14" s="22">
        <v>-120.483333</v>
      </c>
      <c r="D14" s="22">
        <v>37.299999999999997</v>
      </c>
      <c r="E14">
        <v>170</v>
      </c>
    </row>
    <row r="15" spans="1:5" x14ac:dyDescent="0.2">
      <c r="A15" s="2" t="s">
        <v>561</v>
      </c>
      <c r="B15" s="2" t="s">
        <v>589</v>
      </c>
      <c r="C15" s="22">
        <v>-117.37549420000001</v>
      </c>
      <c r="D15" s="22">
        <v>33.980600500000001</v>
      </c>
      <c r="E15">
        <v>843</v>
      </c>
    </row>
    <row r="16" spans="1:5" x14ac:dyDescent="0.2">
      <c r="A16" s="2" t="s">
        <v>576</v>
      </c>
      <c r="B16" s="2" t="s">
        <v>589</v>
      </c>
      <c r="C16" s="22">
        <v>-121.49439959999999</v>
      </c>
      <c r="D16" s="22">
        <v>38.5815719</v>
      </c>
      <c r="E16">
        <v>45</v>
      </c>
    </row>
    <row r="17" spans="1:5" x14ac:dyDescent="0.2">
      <c r="A17" s="2" t="s">
        <v>567</v>
      </c>
      <c r="B17" s="2" t="s">
        <v>589</v>
      </c>
      <c r="C17" s="22">
        <v>-117.1610838</v>
      </c>
      <c r="D17" s="22">
        <v>32.715738000000002</v>
      </c>
      <c r="E17">
        <v>75</v>
      </c>
    </row>
    <row r="18" spans="1:5" x14ac:dyDescent="0.2">
      <c r="A18" s="2" t="s">
        <v>562</v>
      </c>
      <c r="B18" s="2" t="s">
        <v>589</v>
      </c>
      <c r="C18" s="22">
        <v>-122.4194155</v>
      </c>
      <c r="D18" s="22">
        <v>37.774929499999999</v>
      </c>
      <c r="E18">
        <v>91</v>
      </c>
    </row>
    <row r="19" spans="1:5" x14ac:dyDescent="0.2">
      <c r="A19" s="2" t="s">
        <v>591</v>
      </c>
      <c r="B19" s="2" t="s">
        <v>589</v>
      </c>
      <c r="C19" s="22">
        <v>-121.8863286</v>
      </c>
      <c r="D19" s="22">
        <v>37.338208199999997</v>
      </c>
      <c r="E19">
        <v>75</v>
      </c>
    </row>
    <row r="20" spans="1:5" x14ac:dyDescent="0.2">
      <c r="A20" s="2" t="s">
        <v>865</v>
      </c>
      <c r="B20" s="2" t="s">
        <v>589</v>
      </c>
      <c r="C20" s="22">
        <v>-119.7</v>
      </c>
      <c r="D20" s="22">
        <v>34.416666999999997</v>
      </c>
      <c r="E20">
        <v>52</v>
      </c>
    </row>
    <row r="21" spans="1:5" x14ac:dyDescent="0.2">
      <c r="A21" s="2" t="s">
        <v>965</v>
      </c>
      <c r="B21" s="2" t="s">
        <v>589</v>
      </c>
      <c r="C21" s="22">
        <v>-120.38166699999999</v>
      </c>
      <c r="D21" s="22">
        <v>37.984444000000003</v>
      </c>
      <c r="E21">
        <v>1807</v>
      </c>
    </row>
    <row r="22" spans="1:5" x14ac:dyDescent="0.2">
      <c r="A22" s="2" t="s">
        <v>867</v>
      </c>
      <c r="B22" s="2" t="s">
        <v>613</v>
      </c>
      <c r="C22" s="22">
        <v>-104.825278</v>
      </c>
      <c r="D22" s="22">
        <v>38.833888999999999</v>
      </c>
      <c r="E22">
        <v>6030</v>
      </c>
    </row>
    <row r="23" spans="1:5" x14ac:dyDescent="0.2">
      <c r="A23" s="2" t="s">
        <v>568</v>
      </c>
      <c r="B23" s="2" t="s">
        <v>613</v>
      </c>
      <c r="C23" s="22">
        <v>-104.990251</v>
      </c>
      <c r="D23" s="22">
        <v>39.739235800000003</v>
      </c>
      <c r="E23">
        <v>5280</v>
      </c>
    </row>
    <row r="24" spans="1:5" x14ac:dyDescent="0.2">
      <c r="A24" s="2" t="s">
        <v>631</v>
      </c>
      <c r="B24" s="2" t="s">
        <v>632</v>
      </c>
      <c r="C24" s="22">
        <v>-72.673372299999997</v>
      </c>
      <c r="D24" s="22">
        <v>41.765804299999999</v>
      </c>
      <c r="E24">
        <v>88</v>
      </c>
    </row>
    <row r="25" spans="1:5" x14ac:dyDescent="0.2">
      <c r="A25" s="2" t="s">
        <v>689</v>
      </c>
      <c r="B25" s="2" t="s">
        <v>632</v>
      </c>
      <c r="C25" s="22">
        <v>-72.923610999999994</v>
      </c>
      <c r="D25" s="22">
        <v>41.31</v>
      </c>
      <c r="E25">
        <v>65</v>
      </c>
    </row>
    <row r="26" spans="1:5" x14ac:dyDescent="0.2">
      <c r="A26" s="2" t="s">
        <v>556</v>
      </c>
      <c r="B26" s="2" t="s">
        <v>609</v>
      </c>
      <c r="C26" s="22">
        <v>-77.036870699999994</v>
      </c>
      <c r="D26" s="22">
        <v>38.907192299999998</v>
      </c>
      <c r="E26">
        <v>19</v>
      </c>
    </row>
    <row r="27" spans="1:5" x14ac:dyDescent="0.2">
      <c r="A27" s="2" t="s">
        <v>723</v>
      </c>
      <c r="B27" s="2" t="s">
        <v>722</v>
      </c>
      <c r="C27" s="22">
        <v>-75.524368199999998</v>
      </c>
      <c r="D27" s="22">
        <v>39.158168000000003</v>
      </c>
      <c r="E27">
        <v>36</v>
      </c>
    </row>
    <row r="28" spans="1:5" x14ac:dyDescent="0.2">
      <c r="A28" s="2" t="s">
        <v>593</v>
      </c>
      <c r="B28" s="2" t="s">
        <v>608</v>
      </c>
      <c r="C28" s="22">
        <v>-81.655651000000006</v>
      </c>
      <c r="D28" s="22">
        <v>30.332183799999999</v>
      </c>
      <c r="E28">
        <v>39</v>
      </c>
    </row>
    <row r="29" spans="1:5" x14ac:dyDescent="0.2">
      <c r="A29" s="2" t="s">
        <v>966</v>
      </c>
      <c r="B29" s="2" t="s">
        <v>608</v>
      </c>
      <c r="C29" s="22">
        <v>-81.781943999999996</v>
      </c>
      <c r="D29" s="22">
        <v>24.555</v>
      </c>
      <c r="E29">
        <v>5</v>
      </c>
    </row>
    <row r="30" spans="1:5" x14ac:dyDescent="0.2">
      <c r="A30" s="2" t="s">
        <v>555</v>
      </c>
      <c r="B30" s="2" t="s">
        <v>608</v>
      </c>
      <c r="C30" s="22">
        <v>-80.1917902</v>
      </c>
      <c r="D30" s="22">
        <v>25.7616798</v>
      </c>
      <c r="E30">
        <v>82</v>
      </c>
    </row>
    <row r="31" spans="1:5" x14ac:dyDescent="0.2">
      <c r="A31" s="2" t="s">
        <v>569</v>
      </c>
      <c r="B31" s="2" t="s">
        <v>608</v>
      </c>
      <c r="C31" s="22">
        <v>-81.378926899999996</v>
      </c>
      <c r="D31" s="22">
        <v>28.538383199999998</v>
      </c>
      <c r="E31">
        <v>177</v>
      </c>
    </row>
    <row r="32" spans="1:5" x14ac:dyDescent="0.2">
      <c r="A32" s="2" t="s">
        <v>709</v>
      </c>
      <c r="B32" s="2" t="s">
        <v>608</v>
      </c>
      <c r="C32" s="22">
        <v>-84.280732900000004</v>
      </c>
      <c r="D32" s="22">
        <v>30.438255900000001</v>
      </c>
      <c r="E32">
        <v>203</v>
      </c>
    </row>
    <row r="33" spans="1:5" x14ac:dyDescent="0.2">
      <c r="A33" s="2" t="s">
        <v>566</v>
      </c>
      <c r="B33" s="2" t="s">
        <v>608</v>
      </c>
      <c r="C33" s="22">
        <v>-82.457177599999994</v>
      </c>
      <c r="D33" s="22">
        <v>27.950575000000001</v>
      </c>
      <c r="E33">
        <v>3</v>
      </c>
    </row>
    <row r="34" spans="1:5" x14ac:dyDescent="0.2">
      <c r="A34" s="2" t="s">
        <v>557</v>
      </c>
      <c r="B34" s="2" t="s">
        <v>603</v>
      </c>
      <c r="C34" s="22">
        <v>-84.387982399999999</v>
      </c>
      <c r="D34" s="22">
        <v>33.748995399999998</v>
      </c>
      <c r="E34">
        <v>1102</v>
      </c>
    </row>
    <row r="35" spans="1:5" x14ac:dyDescent="0.2">
      <c r="A35" s="2" t="s">
        <v>864</v>
      </c>
      <c r="B35" s="2" t="s">
        <v>603</v>
      </c>
      <c r="C35" s="22">
        <v>-81.091202999999993</v>
      </c>
      <c r="D35" s="22">
        <v>32.080898900000001</v>
      </c>
      <c r="E35">
        <v>29</v>
      </c>
    </row>
    <row r="36" spans="1:5" x14ac:dyDescent="0.2">
      <c r="A36" s="2" t="s">
        <v>639</v>
      </c>
      <c r="B36" s="2" t="s">
        <v>640</v>
      </c>
      <c r="C36" s="22">
        <v>-157.8583333</v>
      </c>
      <c r="D36" s="22">
        <v>21.306944399999999</v>
      </c>
      <c r="E36">
        <v>19</v>
      </c>
    </row>
    <row r="37" spans="1:5" x14ac:dyDescent="0.2">
      <c r="A37" s="2" t="s">
        <v>871</v>
      </c>
      <c r="B37" s="2" t="s">
        <v>670</v>
      </c>
      <c r="C37" s="22">
        <v>-90.577636699999999</v>
      </c>
      <c r="D37" s="22">
        <v>41.523643700000001</v>
      </c>
      <c r="E37">
        <v>580</v>
      </c>
    </row>
    <row r="38" spans="1:5" x14ac:dyDescent="0.2">
      <c r="A38" s="2" t="s">
        <v>669</v>
      </c>
      <c r="B38" s="2" t="s">
        <v>670</v>
      </c>
      <c r="C38" s="22">
        <v>-93.6249593</v>
      </c>
      <c r="D38" s="22">
        <v>41.586835299999997</v>
      </c>
      <c r="E38">
        <v>955</v>
      </c>
    </row>
    <row r="39" spans="1:5" x14ac:dyDescent="0.2">
      <c r="A39" s="2" t="s">
        <v>661</v>
      </c>
      <c r="B39" s="2" t="s">
        <v>662</v>
      </c>
      <c r="C39" s="22">
        <v>-116.2023137</v>
      </c>
      <c r="D39" s="22">
        <v>43.615018599999999</v>
      </c>
      <c r="E39">
        <v>2730</v>
      </c>
    </row>
    <row r="40" spans="1:5" x14ac:dyDescent="0.2">
      <c r="A40" s="2" t="s">
        <v>968</v>
      </c>
      <c r="B40" s="2" t="s">
        <v>662</v>
      </c>
      <c r="C40" s="22">
        <v>-116.78</v>
      </c>
      <c r="D40" s="22">
        <v>47.692777999999997</v>
      </c>
      <c r="E40">
        <v>2188</v>
      </c>
    </row>
    <row r="41" spans="1:5" x14ac:dyDescent="0.2">
      <c r="A41" s="2" t="s">
        <v>1075</v>
      </c>
      <c r="B41" s="2" t="s">
        <v>662</v>
      </c>
      <c r="C41" s="22">
        <v>-114.46059700000001</v>
      </c>
      <c r="D41" s="22">
        <v>42.563806999999997</v>
      </c>
      <c r="E41">
        <v>3747</v>
      </c>
    </row>
    <row r="42" spans="1:5" x14ac:dyDescent="0.2">
      <c r="A42" s="2" t="s">
        <v>552</v>
      </c>
      <c r="B42" s="2" t="s">
        <v>590</v>
      </c>
      <c r="C42" s="22">
        <v>-87.629798199999996</v>
      </c>
      <c r="D42" s="22">
        <v>41.878113599999999</v>
      </c>
      <c r="E42">
        <v>594</v>
      </c>
    </row>
    <row r="43" spans="1:5" x14ac:dyDescent="0.2">
      <c r="A43" s="2" t="s">
        <v>720</v>
      </c>
      <c r="B43" s="2" t="s">
        <v>590</v>
      </c>
      <c r="C43" s="22">
        <v>-89.650148099999996</v>
      </c>
      <c r="D43" s="22">
        <v>39.781721300000001</v>
      </c>
      <c r="E43">
        <v>558</v>
      </c>
    </row>
    <row r="44" spans="1:5" x14ac:dyDescent="0.2">
      <c r="A44" s="2" t="s">
        <v>582</v>
      </c>
      <c r="B44" s="2" t="s">
        <v>620</v>
      </c>
      <c r="C44" s="22">
        <v>-86.158068</v>
      </c>
      <c r="D44" s="22">
        <v>39.768402999999999</v>
      </c>
      <c r="E44">
        <v>718</v>
      </c>
    </row>
    <row r="45" spans="1:5" x14ac:dyDescent="0.2">
      <c r="A45" s="2" t="s">
        <v>717</v>
      </c>
      <c r="B45" s="2" t="s">
        <v>677</v>
      </c>
      <c r="C45" s="22">
        <v>-95.675157600000006</v>
      </c>
      <c r="D45" s="22">
        <v>39.047345100000001</v>
      </c>
      <c r="E45">
        <v>944</v>
      </c>
    </row>
    <row r="46" spans="1:5" x14ac:dyDescent="0.2">
      <c r="A46" s="2" t="s">
        <v>969</v>
      </c>
      <c r="B46" s="2" t="s">
        <v>677</v>
      </c>
      <c r="C46" s="22">
        <v>-97.330053000000007</v>
      </c>
      <c r="D46" s="22">
        <v>37.687176100000002</v>
      </c>
      <c r="E46">
        <v>1299</v>
      </c>
    </row>
    <row r="47" spans="1:5" x14ac:dyDescent="0.2">
      <c r="A47" s="2" t="s">
        <v>863</v>
      </c>
      <c r="B47" s="2" t="s">
        <v>626</v>
      </c>
      <c r="C47" s="23">
        <v>-86.444444000000004</v>
      </c>
      <c r="D47" s="23">
        <v>36.981667000000002</v>
      </c>
      <c r="E47">
        <v>528</v>
      </c>
    </row>
    <row r="48" spans="1:5" x14ac:dyDescent="0.2">
      <c r="A48" s="2" t="s">
        <v>739</v>
      </c>
      <c r="B48" s="2" t="s">
        <v>626</v>
      </c>
      <c r="C48" s="22">
        <v>-84.873283499999999</v>
      </c>
      <c r="D48" s="22">
        <v>38.200905499999998</v>
      </c>
      <c r="E48">
        <v>508</v>
      </c>
    </row>
    <row r="49" spans="1:5" x14ac:dyDescent="0.2">
      <c r="A49" s="2" t="s">
        <v>598</v>
      </c>
      <c r="B49" s="2" t="s">
        <v>626</v>
      </c>
      <c r="C49" s="22">
        <v>-85.758455699999999</v>
      </c>
      <c r="D49" s="22">
        <v>38.252664699999997</v>
      </c>
      <c r="E49">
        <v>465</v>
      </c>
    </row>
    <row r="50" spans="1:5" x14ac:dyDescent="0.2">
      <c r="A50" s="2" t="s">
        <v>654</v>
      </c>
      <c r="B50" s="2" t="s">
        <v>645</v>
      </c>
      <c r="C50" s="22">
        <v>-91.187146600000005</v>
      </c>
      <c r="D50" s="22">
        <v>30.451467699999998</v>
      </c>
      <c r="E50">
        <v>45</v>
      </c>
    </row>
    <row r="51" spans="1:5" x14ac:dyDescent="0.2">
      <c r="A51" s="2" t="s">
        <v>644</v>
      </c>
      <c r="B51" s="2" t="s">
        <v>645</v>
      </c>
      <c r="C51" s="22">
        <v>-90.071532300000001</v>
      </c>
      <c r="D51" s="22">
        <v>29.951065799999999</v>
      </c>
      <c r="E51">
        <v>43</v>
      </c>
    </row>
    <row r="52" spans="1:5" x14ac:dyDescent="0.2">
      <c r="A52" s="2" t="s">
        <v>560</v>
      </c>
      <c r="B52" s="2" t="s">
        <v>606</v>
      </c>
      <c r="C52" s="22">
        <v>-71.058880099999996</v>
      </c>
      <c r="D52" s="22">
        <v>42.360082499999997</v>
      </c>
      <c r="E52">
        <v>45</v>
      </c>
    </row>
    <row r="53" spans="1:5" x14ac:dyDescent="0.2">
      <c r="A53" s="2" t="s">
        <v>743</v>
      </c>
      <c r="B53" s="2" t="s">
        <v>615</v>
      </c>
      <c r="C53" s="22">
        <v>-76.492182900000003</v>
      </c>
      <c r="D53" s="22">
        <v>38.978445299999997</v>
      </c>
      <c r="E53">
        <v>39</v>
      </c>
    </row>
    <row r="54" spans="1:5" x14ac:dyDescent="0.2">
      <c r="A54" s="2" t="s">
        <v>571</v>
      </c>
      <c r="B54" s="2" t="s">
        <v>615</v>
      </c>
      <c r="C54" s="22">
        <v>-76.612189299999997</v>
      </c>
      <c r="D54" s="22">
        <v>39.290384799999998</v>
      </c>
      <c r="E54">
        <v>32</v>
      </c>
    </row>
    <row r="55" spans="1:5" x14ac:dyDescent="0.2">
      <c r="A55" s="2" t="s">
        <v>741</v>
      </c>
      <c r="B55" s="2" t="s">
        <v>693</v>
      </c>
      <c r="C55" s="22">
        <v>-69.779489699999999</v>
      </c>
      <c r="D55" s="22">
        <v>44.310624099999998</v>
      </c>
      <c r="E55">
        <v>124</v>
      </c>
    </row>
    <row r="56" spans="1:5" x14ac:dyDescent="0.2">
      <c r="A56" s="2" t="s">
        <v>878</v>
      </c>
      <c r="B56" s="2" t="s">
        <v>693</v>
      </c>
      <c r="C56" s="22">
        <v>-68.767499999999998</v>
      </c>
      <c r="D56" s="22">
        <v>44.803055999999998</v>
      </c>
      <c r="E56">
        <v>118</v>
      </c>
    </row>
    <row r="57" spans="1:5" x14ac:dyDescent="0.2">
      <c r="A57" s="2" t="s">
        <v>692</v>
      </c>
      <c r="B57" s="2" t="s">
        <v>693</v>
      </c>
      <c r="C57" s="22">
        <v>-70.256818899999999</v>
      </c>
      <c r="D57" s="22">
        <v>43.659099300000001</v>
      </c>
      <c r="E57">
        <v>62</v>
      </c>
    </row>
    <row r="58" spans="1:5" x14ac:dyDescent="0.2">
      <c r="A58" s="2" t="s">
        <v>563</v>
      </c>
      <c r="B58" s="2" t="s">
        <v>610</v>
      </c>
      <c r="C58" s="22">
        <v>-83.0457538</v>
      </c>
      <c r="D58" s="22">
        <v>42.331426999999998</v>
      </c>
      <c r="E58">
        <v>600</v>
      </c>
    </row>
    <row r="59" spans="1:5" x14ac:dyDescent="0.2">
      <c r="A59" s="2" t="s">
        <v>630</v>
      </c>
      <c r="B59" s="2" t="s">
        <v>610</v>
      </c>
      <c r="C59" s="22">
        <v>-85.668086299999999</v>
      </c>
      <c r="D59" s="22">
        <v>42.9633599</v>
      </c>
      <c r="E59">
        <v>639</v>
      </c>
    </row>
    <row r="60" spans="1:5" x14ac:dyDescent="0.2">
      <c r="A60" s="2" t="s">
        <v>745</v>
      </c>
      <c r="B60" s="2" t="s">
        <v>610</v>
      </c>
      <c r="C60" s="22">
        <v>-84.555534699999995</v>
      </c>
      <c r="D60" s="22">
        <v>42.732534999999999</v>
      </c>
      <c r="E60">
        <v>853</v>
      </c>
    </row>
    <row r="61" spans="1:5" x14ac:dyDescent="0.2">
      <c r="A61" s="2" t="s">
        <v>565</v>
      </c>
      <c r="B61" s="2" t="s">
        <v>612</v>
      </c>
      <c r="C61" s="22">
        <v>-93.265010799999999</v>
      </c>
      <c r="D61" s="22">
        <v>44.977753</v>
      </c>
      <c r="E61">
        <v>830</v>
      </c>
    </row>
    <row r="62" spans="1:5" x14ac:dyDescent="0.2">
      <c r="A62" s="2" t="s">
        <v>727</v>
      </c>
      <c r="B62" s="2" t="s">
        <v>616</v>
      </c>
      <c r="C62" s="22">
        <v>-92.173516399999997</v>
      </c>
      <c r="D62" s="22">
        <v>38.576701700000001</v>
      </c>
      <c r="E62">
        <v>629</v>
      </c>
    </row>
    <row r="63" spans="1:5" x14ac:dyDescent="0.2">
      <c r="A63" s="2" t="s">
        <v>580</v>
      </c>
      <c r="B63" s="2" t="s">
        <v>616</v>
      </c>
      <c r="C63" s="22">
        <v>-94.578566699999996</v>
      </c>
      <c r="D63" s="22">
        <v>39.099726500000003</v>
      </c>
      <c r="E63">
        <v>898</v>
      </c>
    </row>
    <row r="64" spans="1:5" x14ac:dyDescent="0.2">
      <c r="A64" s="2" t="s">
        <v>572</v>
      </c>
      <c r="B64" s="2" t="s">
        <v>616</v>
      </c>
      <c r="C64" s="22">
        <v>-90.199404200000004</v>
      </c>
      <c r="D64" s="22">
        <v>38.627002500000003</v>
      </c>
      <c r="E64">
        <v>465</v>
      </c>
    </row>
    <row r="65" spans="1:5" x14ac:dyDescent="0.2">
      <c r="A65" s="2" t="s">
        <v>683</v>
      </c>
      <c r="B65" s="2" t="s">
        <v>684</v>
      </c>
      <c r="C65" s="22">
        <v>-90.184810299999995</v>
      </c>
      <c r="D65" s="22">
        <v>32.298757299999998</v>
      </c>
      <c r="E65">
        <v>278</v>
      </c>
    </row>
    <row r="66" spans="1:5" x14ac:dyDescent="0.2">
      <c r="A66" s="2" t="s">
        <v>725</v>
      </c>
      <c r="B66" s="2" t="s">
        <v>724</v>
      </c>
      <c r="C66" s="22">
        <v>-108.5006904</v>
      </c>
      <c r="D66" s="22">
        <v>45.783285599999999</v>
      </c>
      <c r="E66">
        <v>3123</v>
      </c>
    </row>
    <row r="67" spans="1:5" x14ac:dyDescent="0.2">
      <c r="A67" s="2" t="s">
        <v>862</v>
      </c>
      <c r="B67" s="2" t="s">
        <v>724</v>
      </c>
      <c r="C67" s="22">
        <v>-111.047222</v>
      </c>
      <c r="D67" s="22">
        <v>45.677778000000004</v>
      </c>
      <c r="E67">
        <v>4816</v>
      </c>
    </row>
    <row r="68" spans="1:5" x14ac:dyDescent="0.2">
      <c r="A68" s="2" t="s">
        <v>730</v>
      </c>
      <c r="B68" s="2" t="s">
        <v>724</v>
      </c>
      <c r="C68" s="22">
        <v>-112.03910569999999</v>
      </c>
      <c r="D68" s="22">
        <v>46.589145199999997</v>
      </c>
      <c r="E68">
        <v>4058</v>
      </c>
    </row>
    <row r="69" spans="1:5" x14ac:dyDescent="0.2">
      <c r="A69" s="2" t="s">
        <v>861</v>
      </c>
      <c r="B69" s="2" t="s">
        <v>614</v>
      </c>
      <c r="C69" s="22">
        <v>-82.682777999999999</v>
      </c>
      <c r="D69" s="23">
        <v>35.600555999999997</v>
      </c>
      <c r="E69">
        <v>2129</v>
      </c>
    </row>
    <row r="70" spans="1:5" x14ac:dyDescent="0.2">
      <c r="A70" s="2" t="s">
        <v>570</v>
      </c>
      <c r="B70" s="2" t="s">
        <v>614</v>
      </c>
      <c r="C70" s="22">
        <v>-80.843126699999999</v>
      </c>
      <c r="D70" s="22">
        <v>35.227086900000003</v>
      </c>
      <c r="E70">
        <v>751</v>
      </c>
    </row>
    <row r="71" spans="1:5" x14ac:dyDescent="0.2">
      <c r="A71" s="2" t="s">
        <v>596</v>
      </c>
      <c r="B71" s="2" t="s">
        <v>614</v>
      </c>
      <c r="C71" s="22">
        <v>-78.638178699999997</v>
      </c>
      <c r="D71" s="22">
        <v>35.779589700000002</v>
      </c>
      <c r="E71">
        <v>314</v>
      </c>
    </row>
    <row r="72" spans="1:5" x14ac:dyDescent="0.2">
      <c r="A72" s="2" t="s">
        <v>728</v>
      </c>
      <c r="B72" s="2" t="s">
        <v>715</v>
      </c>
      <c r="C72" s="22">
        <v>-100.7837392</v>
      </c>
      <c r="D72" s="22">
        <v>46.808326800000003</v>
      </c>
      <c r="E72">
        <v>1686</v>
      </c>
    </row>
    <row r="73" spans="1:5" x14ac:dyDescent="0.2">
      <c r="A73" s="2" t="s">
        <v>716</v>
      </c>
      <c r="B73" s="2" t="s">
        <v>715</v>
      </c>
      <c r="C73" s="22">
        <v>-96.789803399999997</v>
      </c>
      <c r="D73" s="22">
        <v>46.877186299999998</v>
      </c>
      <c r="E73">
        <v>905</v>
      </c>
    </row>
    <row r="74" spans="1:5" x14ac:dyDescent="0.2">
      <c r="A74" s="2" t="s">
        <v>707</v>
      </c>
      <c r="B74" s="2" t="s">
        <v>638</v>
      </c>
      <c r="C74" s="22">
        <v>-96.702595500000001</v>
      </c>
      <c r="D74" s="22">
        <v>40.813616000000003</v>
      </c>
      <c r="E74">
        <v>1200</v>
      </c>
    </row>
    <row r="75" spans="1:5" x14ac:dyDescent="0.2">
      <c r="A75" s="2" t="s">
        <v>637</v>
      </c>
      <c r="B75" s="2" t="s">
        <v>638</v>
      </c>
      <c r="C75" s="22">
        <v>-95.934503399999997</v>
      </c>
      <c r="D75" s="22">
        <v>41.2565369</v>
      </c>
      <c r="E75">
        <v>1059</v>
      </c>
    </row>
    <row r="76" spans="1:5" x14ac:dyDescent="0.2">
      <c r="A76" s="2" t="s">
        <v>746</v>
      </c>
      <c r="B76" s="2" t="s">
        <v>699</v>
      </c>
      <c r="C76" s="22">
        <v>-71.537571799999995</v>
      </c>
      <c r="D76" s="22">
        <v>43.208136600000003</v>
      </c>
      <c r="E76">
        <v>272</v>
      </c>
    </row>
    <row r="77" spans="1:5" x14ac:dyDescent="0.2">
      <c r="A77" s="2" t="s">
        <v>700</v>
      </c>
      <c r="B77" s="2" t="s">
        <v>699</v>
      </c>
      <c r="C77" s="22">
        <v>-71.463611</v>
      </c>
      <c r="D77" s="22">
        <v>42.990833000000002</v>
      </c>
      <c r="E77">
        <v>262</v>
      </c>
    </row>
    <row r="78" spans="1:5" x14ac:dyDescent="0.2">
      <c r="A78" s="2" t="s">
        <v>887</v>
      </c>
      <c r="B78" s="2" t="s">
        <v>703</v>
      </c>
      <c r="C78" s="22">
        <v>-74.424999999999997</v>
      </c>
      <c r="D78" s="22">
        <v>39.362499999999997</v>
      </c>
      <c r="E78">
        <v>7</v>
      </c>
    </row>
    <row r="79" spans="1:5" x14ac:dyDescent="0.2">
      <c r="A79" s="2" t="s">
        <v>1169</v>
      </c>
      <c r="B79" s="2" t="s">
        <v>703</v>
      </c>
      <c r="C79" s="23">
        <v>-74.599796999999995</v>
      </c>
      <c r="D79" s="22">
        <v>39.269523</v>
      </c>
      <c r="E79">
        <v>9</v>
      </c>
    </row>
    <row r="80" spans="1:5" x14ac:dyDescent="0.2">
      <c r="A80" s="2" t="s">
        <v>704</v>
      </c>
      <c r="B80" s="2" t="s">
        <v>703</v>
      </c>
      <c r="C80" s="22">
        <v>-74.759716999999995</v>
      </c>
      <c r="D80" s="22">
        <v>40.220582399999998</v>
      </c>
      <c r="E80">
        <v>55</v>
      </c>
    </row>
    <row r="81" spans="1:5" x14ac:dyDescent="0.2">
      <c r="A81" s="2" t="s">
        <v>648</v>
      </c>
      <c r="B81" s="2" t="s">
        <v>649</v>
      </c>
      <c r="C81" s="22">
        <v>-106.65042200000001</v>
      </c>
      <c r="D81" s="22">
        <v>35.084385900000001</v>
      </c>
      <c r="E81">
        <v>4957</v>
      </c>
    </row>
    <row r="82" spans="1:5" x14ac:dyDescent="0.2">
      <c r="A82" s="2" t="s">
        <v>726</v>
      </c>
      <c r="B82" s="2" t="s">
        <v>649</v>
      </c>
      <c r="C82" s="22">
        <v>-105.937799</v>
      </c>
      <c r="D82" s="22">
        <v>35.686975199999999</v>
      </c>
      <c r="E82">
        <v>6994</v>
      </c>
    </row>
    <row r="83" spans="1:5" x14ac:dyDescent="0.2">
      <c r="A83" s="2" t="s">
        <v>970</v>
      </c>
      <c r="B83" s="2" t="s">
        <v>649</v>
      </c>
      <c r="C83" s="22">
        <v>-105.576667</v>
      </c>
      <c r="D83" s="22">
        <v>36.393889000000001</v>
      </c>
      <c r="E83">
        <v>6965</v>
      </c>
    </row>
    <row r="84" spans="1:5" x14ac:dyDescent="0.2">
      <c r="A84" s="2" t="s">
        <v>729</v>
      </c>
      <c r="B84" s="2" t="s">
        <v>618</v>
      </c>
      <c r="C84" s="22">
        <v>-119.76740340000001</v>
      </c>
      <c r="D84" s="22">
        <v>39.163798399999997</v>
      </c>
      <c r="E84">
        <v>4681</v>
      </c>
    </row>
    <row r="85" spans="1:5" x14ac:dyDescent="0.2">
      <c r="A85" s="2" t="s">
        <v>578</v>
      </c>
      <c r="B85" s="2" t="s">
        <v>618</v>
      </c>
      <c r="C85" s="22">
        <v>-115.1398296</v>
      </c>
      <c r="D85" s="22">
        <v>36.169941199999997</v>
      </c>
      <c r="E85">
        <v>2001</v>
      </c>
    </row>
    <row r="86" spans="1:5" x14ac:dyDescent="0.2">
      <c r="A86" s="2" t="s">
        <v>652</v>
      </c>
      <c r="B86" s="2" t="s">
        <v>588</v>
      </c>
      <c r="C86" s="22">
        <v>-73.756231700000001</v>
      </c>
      <c r="D86" s="22">
        <v>42.652579299999999</v>
      </c>
      <c r="E86">
        <v>147</v>
      </c>
    </row>
    <row r="87" spans="1:5" x14ac:dyDescent="0.2">
      <c r="A87" s="2" t="s">
        <v>633</v>
      </c>
      <c r="B87" s="2" t="s">
        <v>588</v>
      </c>
      <c r="C87" s="22">
        <v>-78.878368899999998</v>
      </c>
      <c r="D87" s="22">
        <v>42.886446800000002</v>
      </c>
      <c r="E87">
        <v>600</v>
      </c>
    </row>
    <row r="88" spans="1:5" x14ac:dyDescent="0.2">
      <c r="A88" s="2" t="s">
        <v>550</v>
      </c>
      <c r="B88" s="2" t="s">
        <v>588</v>
      </c>
      <c r="C88" s="22">
        <v>-74.005972799999995</v>
      </c>
      <c r="D88" s="22">
        <v>40.712775299999997</v>
      </c>
      <c r="E88">
        <v>32</v>
      </c>
    </row>
    <row r="89" spans="1:5" x14ac:dyDescent="0.2">
      <c r="A89" s="2" t="s">
        <v>636</v>
      </c>
      <c r="B89" s="2" t="s">
        <v>588</v>
      </c>
      <c r="C89" s="22">
        <v>-77.608846499999999</v>
      </c>
      <c r="D89" s="22">
        <v>43.156577900000002</v>
      </c>
      <c r="E89">
        <v>505</v>
      </c>
    </row>
    <row r="90" spans="1:5" x14ac:dyDescent="0.2">
      <c r="A90" s="2" t="s">
        <v>579</v>
      </c>
      <c r="B90" s="2" t="s">
        <v>619</v>
      </c>
      <c r="C90" s="22">
        <v>-84.512019600000002</v>
      </c>
      <c r="D90" s="22">
        <v>39.103118199999997</v>
      </c>
      <c r="E90">
        <v>594</v>
      </c>
    </row>
    <row r="91" spans="1:5" x14ac:dyDescent="0.2">
      <c r="A91" s="2" t="s">
        <v>583</v>
      </c>
      <c r="B91" s="2" t="s">
        <v>619</v>
      </c>
      <c r="C91" s="22">
        <v>-81.694360500000002</v>
      </c>
      <c r="D91" s="22">
        <v>41.499319999999997</v>
      </c>
      <c r="E91">
        <v>679</v>
      </c>
    </row>
    <row r="92" spans="1:5" x14ac:dyDescent="0.2">
      <c r="A92" s="2" t="s">
        <v>581</v>
      </c>
      <c r="B92" s="2" t="s">
        <v>619</v>
      </c>
      <c r="C92" s="22">
        <v>-82.998794200000006</v>
      </c>
      <c r="D92" s="22">
        <v>39.961175500000003</v>
      </c>
      <c r="E92">
        <v>801</v>
      </c>
    </row>
    <row r="93" spans="1:5" x14ac:dyDescent="0.2">
      <c r="A93" s="2" t="s">
        <v>597</v>
      </c>
      <c r="B93" s="2" t="s">
        <v>625</v>
      </c>
      <c r="C93" s="22">
        <v>-97.5164276</v>
      </c>
      <c r="D93" s="22">
        <v>35.467560200000001</v>
      </c>
      <c r="E93">
        <v>1286</v>
      </c>
    </row>
    <row r="94" spans="1:5" x14ac:dyDescent="0.2">
      <c r="A94" s="2" t="s">
        <v>635</v>
      </c>
      <c r="B94" s="2" t="s">
        <v>625</v>
      </c>
      <c r="C94" s="22">
        <v>-95.992774999999995</v>
      </c>
      <c r="D94" s="22">
        <v>36.153981600000002</v>
      </c>
      <c r="E94">
        <v>774</v>
      </c>
    </row>
    <row r="95" spans="1:5" x14ac:dyDescent="0.2">
      <c r="A95" s="2" t="s">
        <v>860</v>
      </c>
      <c r="B95" s="2" t="s">
        <v>617</v>
      </c>
      <c r="C95" s="22">
        <v>-123.328333</v>
      </c>
      <c r="D95" s="22">
        <v>42.438889000000003</v>
      </c>
      <c r="E95">
        <v>944</v>
      </c>
    </row>
    <row r="96" spans="1:5" x14ac:dyDescent="0.2">
      <c r="A96" s="2" t="s">
        <v>575</v>
      </c>
      <c r="B96" s="2" t="s">
        <v>617</v>
      </c>
      <c r="C96" s="22">
        <v>-122.6783853</v>
      </c>
      <c r="D96" s="22">
        <v>45.515231999999997</v>
      </c>
      <c r="E96">
        <v>39</v>
      </c>
    </row>
    <row r="97" spans="1:5" x14ac:dyDescent="0.2">
      <c r="A97" s="2" t="s">
        <v>710</v>
      </c>
      <c r="B97" s="2" t="s">
        <v>617</v>
      </c>
      <c r="C97" s="22">
        <v>-123.03509630000001</v>
      </c>
      <c r="D97" s="22">
        <v>44.942897500000001</v>
      </c>
      <c r="E97">
        <v>160</v>
      </c>
    </row>
    <row r="98" spans="1:5" x14ac:dyDescent="0.2">
      <c r="A98" s="2" t="s">
        <v>653</v>
      </c>
      <c r="B98" s="2" t="s">
        <v>604</v>
      </c>
      <c r="C98" s="22">
        <v>-75.477221999999998</v>
      </c>
      <c r="D98" s="22">
        <v>40.601666999999999</v>
      </c>
      <c r="E98">
        <v>337</v>
      </c>
    </row>
    <row r="99" spans="1:5" x14ac:dyDescent="0.2">
      <c r="A99" s="2" t="s">
        <v>682</v>
      </c>
      <c r="B99" s="2" t="s">
        <v>604</v>
      </c>
      <c r="C99" s="22">
        <v>-76.8867008</v>
      </c>
      <c r="D99" s="22">
        <v>40.273191099999998</v>
      </c>
      <c r="E99">
        <v>331</v>
      </c>
    </row>
    <row r="100" spans="1:5" x14ac:dyDescent="0.2">
      <c r="A100" s="2" t="s">
        <v>558</v>
      </c>
      <c r="B100" s="2" t="s">
        <v>604</v>
      </c>
      <c r="C100" s="22">
        <v>-75.165221500000001</v>
      </c>
      <c r="D100" s="22">
        <v>39.9525839</v>
      </c>
      <c r="E100">
        <v>36</v>
      </c>
    </row>
    <row r="101" spans="1:5" x14ac:dyDescent="0.2">
      <c r="A101" s="2" t="s">
        <v>577</v>
      </c>
      <c r="B101" s="2" t="s">
        <v>604</v>
      </c>
      <c r="C101" s="22">
        <v>-79.995886400000003</v>
      </c>
      <c r="D101" s="22">
        <v>40.440624800000002</v>
      </c>
      <c r="E101">
        <v>758</v>
      </c>
    </row>
    <row r="102" spans="1:5" x14ac:dyDescent="0.2">
      <c r="A102" s="2" t="s">
        <v>733</v>
      </c>
      <c r="B102" s="2" t="s">
        <v>734</v>
      </c>
      <c r="C102" s="22">
        <v>-66.105735499999994</v>
      </c>
      <c r="D102" s="22">
        <v>18.465539400000001</v>
      </c>
      <c r="E102">
        <v>22</v>
      </c>
    </row>
    <row r="103" spans="1:5" x14ac:dyDescent="0.2">
      <c r="A103" s="2" t="s">
        <v>594</v>
      </c>
      <c r="B103" s="2" t="s">
        <v>623</v>
      </c>
      <c r="C103" s="22">
        <v>-71.4128343</v>
      </c>
      <c r="D103" s="22">
        <v>41.823989099999999</v>
      </c>
      <c r="E103">
        <v>6</v>
      </c>
    </row>
    <row r="104" spans="1:5" x14ac:dyDescent="0.2">
      <c r="A104" s="2" t="s">
        <v>658</v>
      </c>
      <c r="B104" s="2" t="s">
        <v>642</v>
      </c>
      <c r="C104" s="22">
        <v>-79.931051199999999</v>
      </c>
      <c r="D104" s="22">
        <v>32.776474899999997</v>
      </c>
      <c r="E104">
        <v>19</v>
      </c>
    </row>
    <row r="105" spans="1:5" x14ac:dyDescent="0.2">
      <c r="A105" s="2" t="s">
        <v>657</v>
      </c>
      <c r="B105" s="2" t="s">
        <v>642</v>
      </c>
      <c r="C105" s="22">
        <v>-81.034814400000002</v>
      </c>
      <c r="D105" s="22">
        <v>34.000710400000003</v>
      </c>
      <c r="E105">
        <v>291</v>
      </c>
    </row>
    <row r="106" spans="1:5" x14ac:dyDescent="0.2">
      <c r="A106" s="2" t="s">
        <v>641</v>
      </c>
      <c r="B106" s="2" t="s">
        <v>642</v>
      </c>
      <c r="C106" s="22">
        <v>-82.413332999999994</v>
      </c>
      <c r="D106" s="22">
        <v>34.861111000000001</v>
      </c>
      <c r="E106">
        <v>1007</v>
      </c>
    </row>
    <row r="107" spans="1:5" x14ac:dyDescent="0.2">
      <c r="A107" s="2" t="s">
        <v>748</v>
      </c>
      <c r="B107" s="2" t="s">
        <v>712</v>
      </c>
      <c r="C107" s="22">
        <v>-100.3537522</v>
      </c>
      <c r="D107" s="22">
        <v>44.366787600000002</v>
      </c>
      <c r="E107">
        <v>1479</v>
      </c>
    </row>
    <row r="108" spans="1:5" x14ac:dyDescent="0.2">
      <c r="A108" s="2" t="s">
        <v>858</v>
      </c>
      <c r="B108" s="2" t="s">
        <v>712</v>
      </c>
      <c r="C108" s="22">
        <v>-103.220833</v>
      </c>
      <c r="D108" s="22">
        <v>44.071389000000003</v>
      </c>
      <c r="E108">
        <v>3241</v>
      </c>
    </row>
    <row r="109" spans="1:5" x14ac:dyDescent="0.2">
      <c r="A109" s="2" t="s">
        <v>713</v>
      </c>
      <c r="B109" s="2" t="s">
        <v>712</v>
      </c>
      <c r="C109" s="22">
        <v>-96.731264999999993</v>
      </c>
      <c r="D109" s="22">
        <v>43.546022299999997</v>
      </c>
      <c r="E109">
        <v>1469</v>
      </c>
    </row>
    <row r="110" spans="1:5" x14ac:dyDescent="0.2">
      <c r="A110" s="2" t="s">
        <v>646</v>
      </c>
      <c r="B110" s="2" t="s">
        <v>621</v>
      </c>
      <c r="C110" s="22">
        <v>-83.9207392</v>
      </c>
      <c r="D110" s="22">
        <v>35.960638400000001</v>
      </c>
      <c r="E110">
        <v>905</v>
      </c>
    </row>
    <row r="111" spans="1:5" x14ac:dyDescent="0.2">
      <c r="A111" s="2" t="s">
        <v>600</v>
      </c>
      <c r="B111" s="2" t="s">
        <v>621</v>
      </c>
      <c r="C111" s="22">
        <v>-90.048980099999994</v>
      </c>
      <c r="D111" s="22">
        <v>35.149534299999999</v>
      </c>
      <c r="E111">
        <v>255</v>
      </c>
    </row>
    <row r="112" spans="1:5" x14ac:dyDescent="0.2">
      <c r="A112" s="2" t="s">
        <v>584</v>
      </c>
      <c r="B112" s="2" t="s">
        <v>621</v>
      </c>
      <c r="C112" s="22">
        <v>-86.781601600000002</v>
      </c>
      <c r="D112" s="22">
        <v>36.162663799999997</v>
      </c>
      <c r="E112">
        <v>551</v>
      </c>
    </row>
    <row r="113" spans="1:5" x14ac:dyDescent="0.2">
      <c r="A113" s="2" t="s">
        <v>574</v>
      </c>
      <c r="B113" s="2" t="s">
        <v>607</v>
      </c>
      <c r="C113" s="22">
        <v>-97.743060799999995</v>
      </c>
      <c r="D113" s="22">
        <v>30.267153</v>
      </c>
      <c r="E113">
        <v>488</v>
      </c>
    </row>
    <row r="114" spans="1:5" x14ac:dyDescent="0.2">
      <c r="A114" s="2" t="s">
        <v>553</v>
      </c>
      <c r="B114" s="2" t="s">
        <v>607</v>
      </c>
      <c r="C114" s="22">
        <v>-96.796987900000005</v>
      </c>
      <c r="D114" s="22">
        <v>32.776664199999999</v>
      </c>
      <c r="E114">
        <v>419</v>
      </c>
    </row>
    <row r="115" spans="1:5" x14ac:dyDescent="0.2">
      <c r="A115" s="2" t="s">
        <v>656</v>
      </c>
      <c r="B115" s="2" t="s">
        <v>607</v>
      </c>
      <c r="C115" s="22">
        <v>-106.48861100000001</v>
      </c>
      <c r="D115" s="22">
        <v>31.759167000000001</v>
      </c>
      <c r="E115">
        <v>3717</v>
      </c>
    </row>
    <row r="116" spans="1:5" x14ac:dyDescent="0.2">
      <c r="A116" s="2" t="s">
        <v>554</v>
      </c>
      <c r="B116" s="2" t="s">
        <v>607</v>
      </c>
      <c r="C116" s="22">
        <v>-95.369802800000002</v>
      </c>
      <c r="D116" s="22">
        <v>29.7604267</v>
      </c>
      <c r="E116">
        <v>39</v>
      </c>
    </row>
    <row r="117" spans="1:5" x14ac:dyDescent="0.2">
      <c r="A117" s="2" t="s">
        <v>573</v>
      </c>
      <c r="B117" s="2" t="s">
        <v>607</v>
      </c>
      <c r="C117" s="22">
        <v>-98.493628200000003</v>
      </c>
      <c r="D117" s="22">
        <v>29.424121899999999</v>
      </c>
      <c r="E117">
        <v>649</v>
      </c>
    </row>
    <row r="118" spans="1:5" x14ac:dyDescent="0.2">
      <c r="A118" s="2" t="s">
        <v>668</v>
      </c>
      <c r="B118" s="2" t="s">
        <v>627</v>
      </c>
      <c r="C118" s="22">
        <v>-111.660833</v>
      </c>
      <c r="D118" s="22">
        <v>40.244444000000001</v>
      </c>
      <c r="E118">
        <v>4550</v>
      </c>
    </row>
    <row r="119" spans="1:5" x14ac:dyDescent="0.2">
      <c r="A119" s="2" t="s">
        <v>601</v>
      </c>
      <c r="B119" s="2" t="s">
        <v>627</v>
      </c>
      <c r="C119" s="22">
        <v>-111.89104740000001</v>
      </c>
      <c r="D119" s="22">
        <v>40.760779300000003</v>
      </c>
      <c r="E119">
        <v>4261</v>
      </c>
    </row>
    <row r="120" spans="1:5" x14ac:dyDescent="0.2">
      <c r="A120" s="2" t="s">
        <v>857</v>
      </c>
      <c r="B120" s="2" t="s">
        <v>622</v>
      </c>
      <c r="C120" s="22">
        <v>-78.476678100000001</v>
      </c>
      <c r="D120" s="22">
        <v>38.029305899999997</v>
      </c>
      <c r="E120">
        <v>465</v>
      </c>
    </row>
    <row r="121" spans="1:5" x14ac:dyDescent="0.2">
      <c r="A121" s="2" t="s">
        <v>599</v>
      </c>
      <c r="B121" s="2" t="s">
        <v>622</v>
      </c>
      <c r="C121" s="22">
        <v>-77.436048099999994</v>
      </c>
      <c r="D121" s="22">
        <v>37.540724599999997</v>
      </c>
      <c r="E121">
        <v>209</v>
      </c>
    </row>
    <row r="122" spans="1:5" x14ac:dyDescent="0.2">
      <c r="A122" s="2" t="s">
        <v>592</v>
      </c>
      <c r="B122" s="2" t="s">
        <v>622</v>
      </c>
      <c r="C122" s="22">
        <v>-76.285872600000005</v>
      </c>
      <c r="D122" s="22">
        <v>36.850768899999998</v>
      </c>
      <c r="E122">
        <v>9</v>
      </c>
    </row>
    <row r="123" spans="1:5" x14ac:dyDescent="0.2">
      <c r="A123" s="2" t="s">
        <v>719</v>
      </c>
      <c r="B123" s="2" t="s">
        <v>718</v>
      </c>
      <c r="C123" s="22">
        <v>-73.212072000000006</v>
      </c>
      <c r="D123" s="22">
        <v>44.475882499999997</v>
      </c>
      <c r="E123">
        <v>200</v>
      </c>
    </row>
    <row r="124" spans="1:5" x14ac:dyDescent="0.2">
      <c r="A124" s="2" t="s">
        <v>751</v>
      </c>
      <c r="B124" s="2" t="s">
        <v>718</v>
      </c>
      <c r="C124" s="22">
        <v>-72.575386899999998</v>
      </c>
      <c r="D124" s="22">
        <v>44.260059300000002</v>
      </c>
      <c r="E124">
        <v>524</v>
      </c>
    </row>
    <row r="125" spans="1:5" x14ac:dyDescent="0.2">
      <c r="A125" s="2" t="s">
        <v>856</v>
      </c>
      <c r="B125" s="2" t="s">
        <v>611</v>
      </c>
      <c r="C125" s="22">
        <v>-122.744444</v>
      </c>
      <c r="D125" s="22">
        <v>47.538888999999998</v>
      </c>
      <c r="E125">
        <v>30</v>
      </c>
    </row>
    <row r="126" spans="1:5" x14ac:dyDescent="0.2">
      <c r="A126" s="2" t="s">
        <v>714</v>
      </c>
      <c r="B126" s="2" t="s">
        <v>611</v>
      </c>
      <c r="C126" s="22">
        <v>-122.90069509999999</v>
      </c>
      <c r="D126" s="22">
        <v>47.037874100000003</v>
      </c>
      <c r="E126">
        <v>95</v>
      </c>
    </row>
    <row r="127" spans="1:5" x14ac:dyDescent="0.2">
      <c r="A127" s="2" t="s">
        <v>967</v>
      </c>
      <c r="B127" s="2" t="s">
        <v>611</v>
      </c>
      <c r="C127" s="22">
        <v>-123.440833</v>
      </c>
      <c r="D127" s="22">
        <v>48.113056</v>
      </c>
      <c r="E127">
        <v>32</v>
      </c>
    </row>
    <row r="128" spans="1:5" x14ac:dyDescent="0.2">
      <c r="A128" s="2" t="s">
        <v>564</v>
      </c>
      <c r="B128" s="2" t="s">
        <v>611</v>
      </c>
      <c r="C128" s="22">
        <v>-122.3320708</v>
      </c>
      <c r="D128" s="22">
        <v>47.606209499999999</v>
      </c>
      <c r="E128">
        <v>174</v>
      </c>
    </row>
    <row r="129" spans="1:5" x14ac:dyDescent="0.2">
      <c r="A129" s="2" t="s">
        <v>673</v>
      </c>
      <c r="B129" s="2" t="s">
        <v>624</v>
      </c>
      <c r="C129" s="22">
        <v>-89.401230200000001</v>
      </c>
      <c r="D129" s="22">
        <v>43.073051700000001</v>
      </c>
      <c r="E129">
        <v>873</v>
      </c>
    </row>
    <row r="130" spans="1:5" x14ac:dyDescent="0.2">
      <c r="A130" s="2" t="s">
        <v>595</v>
      </c>
      <c r="B130" s="2" t="s">
        <v>624</v>
      </c>
      <c r="C130" s="22">
        <v>-87.906473599999998</v>
      </c>
      <c r="D130" s="22">
        <v>43.038902499999999</v>
      </c>
      <c r="E130">
        <v>617</v>
      </c>
    </row>
    <row r="131" spans="1:5" x14ac:dyDescent="0.2">
      <c r="A131" s="2" t="s">
        <v>721</v>
      </c>
      <c r="B131" s="2" t="s">
        <v>705</v>
      </c>
      <c r="C131" s="22">
        <v>-81.6326234</v>
      </c>
      <c r="D131" s="22">
        <v>38.349819500000002</v>
      </c>
      <c r="E131">
        <v>604</v>
      </c>
    </row>
    <row r="132" spans="1:5" x14ac:dyDescent="0.2">
      <c r="A132" s="2" t="s">
        <v>706</v>
      </c>
      <c r="B132" s="2" t="s">
        <v>705</v>
      </c>
      <c r="C132" s="22">
        <v>-82.445153000000005</v>
      </c>
      <c r="D132" s="22">
        <v>38.419249999999998</v>
      </c>
      <c r="E132">
        <v>564</v>
      </c>
    </row>
    <row r="133" spans="1:5" x14ac:dyDescent="0.2">
      <c r="A133" s="2" t="s">
        <v>896</v>
      </c>
      <c r="B133" s="2" t="s">
        <v>705</v>
      </c>
      <c r="C133" s="22">
        <v>-79.950556000000006</v>
      </c>
      <c r="D133" s="22">
        <v>39.633611000000002</v>
      </c>
      <c r="E133">
        <v>1020</v>
      </c>
    </row>
    <row r="134" spans="1:5" x14ac:dyDescent="0.2">
      <c r="A134" s="2" t="s">
        <v>868</v>
      </c>
      <c r="B134" s="2" t="s">
        <v>731</v>
      </c>
      <c r="C134" s="22">
        <v>-106.2980824</v>
      </c>
      <c r="D134" s="22">
        <v>42.848708999999999</v>
      </c>
      <c r="E134">
        <v>5100</v>
      </c>
    </row>
    <row r="135" spans="1:5" x14ac:dyDescent="0.2">
      <c r="A135" s="2" t="s">
        <v>732</v>
      </c>
      <c r="B135" s="2" t="s">
        <v>731</v>
      </c>
      <c r="C135" s="22">
        <v>-104.8202462</v>
      </c>
      <c r="D135" s="22">
        <v>41.139981400000003</v>
      </c>
      <c r="E135">
        <v>6062</v>
      </c>
    </row>
    <row r="136" spans="1:5" x14ac:dyDescent="0.2">
      <c r="A136" t="s">
        <v>573</v>
      </c>
      <c r="B136" t="s">
        <v>607</v>
      </c>
      <c r="C136" s="21">
        <v>-98.493899999999996</v>
      </c>
      <c r="D136" s="21">
        <v>29.425000000000001</v>
      </c>
      <c r="E136">
        <v>722</v>
      </c>
    </row>
    <row r="137" spans="1:5" x14ac:dyDescent="0.2">
      <c r="A137" t="s">
        <v>559</v>
      </c>
      <c r="B137" t="s">
        <v>605</v>
      </c>
      <c r="C137" s="21">
        <v>-112.07388899999999</v>
      </c>
      <c r="D137" s="21">
        <v>33.448332999999998</v>
      </c>
      <c r="E137">
        <v>1086</v>
      </c>
    </row>
    <row r="138" spans="1:5" x14ac:dyDescent="0.2">
      <c r="A138" t="s">
        <v>574</v>
      </c>
      <c r="B138" t="s">
        <v>607</v>
      </c>
      <c r="C138" s="21">
        <v>-97.743055999999996</v>
      </c>
      <c r="D138" s="21">
        <v>30.267222</v>
      </c>
      <c r="E138">
        <v>607</v>
      </c>
    </row>
    <row r="139" spans="1:5" x14ac:dyDescent="0.2">
      <c r="A139" t="s">
        <v>576</v>
      </c>
      <c r="B139" t="s">
        <v>589</v>
      </c>
      <c r="C139" s="21">
        <v>-121.494444</v>
      </c>
      <c r="D139" s="21">
        <v>38.581667000000003</v>
      </c>
      <c r="E139">
        <v>26</v>
      </c>
    </row>
    <row r="140" spans="1:5" x14ac:dyDescent="0.2">
      <c r="A140" t="s">
        <v>553</v>
      </c>
      <c r="B140" t="s">
        <v>607</v>
      </c>
      <c r="C140" s="21">
        <v>-96.808888999999994</v>
      </c>
      <c r="D140" s="21">
        <v>32.779167000000001</v>
      </c>
      <c r="E140">
        <v>482</v>
      </c>
    </row>
    <row r="141" spans="1:5" x14ac:dyDescent="0.2">
      <c r="A141" t="s">
        <v>564</v>
      </c>
      <c r="B141" t="s">
        <v>611</v>
      </c>
      <c r="C141" s="21">
        <v>-122.33</v>
      </c>
      <c r="D141" s="21">
        <v>47.603889000000002</v>
      </c>
      <c r="E141">
        <v>148</v>
      </c>
    </row>
    <row r="142" spans="1:5" x14ac:dyDescent="0.2">
      <c r="A142" t="s">
        <v>575</v>
      </c>
      <c r="B142" t="s">
        <v>617</v>
      </c>
      <c r="C142" s="21">
        <v>-122.681944</v>
      </c>
      <c r="D142" s="21">
        <v>45.52</v>
      </c>
      <c r="E142">
        <v>161</v>
      </c>
    </row>
    <row r="143" spans="1:5" x14ac:dyDescent="0.2">
      <c r="A143" t="s">
        <v>554</v>
      </c>
      <c r="B143" t="s">
        <v>607</v>
      </c>
      <c r="C143" s="21">
        <v>-95.365278000000004</v>
      </c>
      <c r="D143" s="21">
        <v>29.756667</v>
      </c>
      <c r="E143">
        <v>105</v>
      </c>
    </row>
    <row r="144" spans="1:5" x14ac:dyDescent="0.2">
      <c r="A144" t="s">
        <v>562</v>
      </c>
      <c r="B144" t="s">
        <v>589</v>
      </c>
      <c r="C144" s="21">
        <v>-122.416389</v>
      </c>
      <c r="D144" s="21">
        <v>37.777500000000003</v>
      </c>
      <c r="E144">
        <v>52</v>
      </c>
    </row>
    <row r="145" spans="1:5" x14ac:dyDescent="0.2">
      <c r="A145" t="s">
        <v>865</v>
      </c>
      <c r="B145" t="s">
        <v>589</v>
      </c>
      <c r="C145" s="21">
        <v>-119.7</v>
      </c>
      <c r="D145" s="21">
        <v>34.416666999999997</v>
      </c>
      <c r="E145">
        <v>49</v>
      </c>
    </row>
    <row r="146" spans="1:5" x14ac:dyDescent="0.2">
      <c r="A146" t="s">
        <v>683</v>
      </c>
      <c r="B146" t="s">
        <v>684</v>
      </c>
      <c r="C146" s="21">
        <v>-90.184721999999994</v>
      </c>
      <c r="D146" s="21">
        <v>32.298889000000003</v>
      </c>
      <c r="E146">
        <v>361</v>
      </c>
    </row>
    <row r="147" spans="1:5" x14ac:dyDescent="0.2">
      <c r="A147" t="s">
        <v>656</v>
      </c>
      <c r="B147" t="s">
        <v>607</v>
      </c>
      <c r="C147" s="21">
        <v>-106.48861100000001</v>
      </c>
      <c r="D147" s="21">
        <v>31.759167000000001</v>
      </c>
      <c r="E147">
        <v>3888</v>
      </c>
    </row>
    <row r="148" spans="1:5" x14ac:dyDescent="0.2">
      <c r="A148" t="s">
        <v>654</v>
      </c>
      <c r="B148" t="s">
        <v>645</v>
      </c>
      <c r="C148" s="21">
        <v>-91.178611000000004</v>
      </c>
      <c r="D148" s="21">
        <v>30.447500000000002</v>
      </c>
      <c r="E148">
        <v>46</v>
      </c>
    </row>
    <row r="149" spans="1:5" x14ac:dyDescent="0.2">
      <c r="A149" t="s">
        <v>933</v>
      </c>
      <c r="B149" t="s">
        <v>610</v>
      </c>
      <c r="C149" s="21">
        <v>-83.748333000000002</v>
      </c>
      <c r="D149" s="21">
        <v>42.281388999999997</v>
      </c>
      <c r="E149">
        <v>840</v>
      </c>
    </row>
    <row r="150" spans="1:5" x14ac:dyDescent="0.2">
      <c r="A150" t="s">
        <v>681</v>
      </c>
      <c r="B150" t="s">
        <v>614</v>
      </c>
      <c r="C150" s="21">
        <v>-78.900000000000006</v>
      </c>
      <c r="D150" s="21">
        <v>35.978611000000001</v>
      </c>
      <c r="E150">
        <v>404</v>
      </c>
    </row>
  </sheetData>
  <sortState xmlns:xlrd2="http://schemas.microsoft.com/office/spreadsheetml/2017/richdata2" ref="A2:D135">
    <sortCondition ref="B2:B135"/>
    <sortCondition ref="A2:A13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88A3-654C-B946-8BF2-FE437BCA7E83}">
  <dimension ref="A1:N1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3" sqref="I33"/>
    </sheetView>
  </sheetViews>
  <sheetFormatPr baseColWidth="10" defaultRowHeight="16" x14ac:dyDescent="0.2"/>
  <cols>
    <col min="1" max="1" width="18" bestFit="1" customWidth="1"/>
    <col min="2" max="2" width="7.6640625" bestFit="1" customWidth="1"/>
    <col min="3" max="7" width="5.1640625" bestFit="1" customWidth="1"/>
    <col min="8" max="11" width="6.1640625" bestFit="1" customWidth="1"/>
    <col min="12" max="14" width="5.1640625" bestFit="1" customWidth="1"/>
  </cols>
  <sheetData>
    <row r="1" spans="1:14" x14ac:dyDescent="0.2">
      <c r="A1" t="s">
        <v>549</v>
      </c>
      <c r="B1" t="s">
        <v>587</v>
      </c>
      <c r="C1" t="s">
        <v>952</v>
      </c>
      <c r="D1" t="s">
        <v>953</v>
      </c>
      <c r="E1" t="s">
        <v>954</v>
      </c>
      <c r="F1" t="s">
        <v>955</v>
      </c>
      <c r="G1" t="s">
        <v>956</v>
      </c>
      <c r="H1" t="s">
        <v>957</v>
      </c>
      <c r="I1" t="s">
        <v>958</v>
      </c>
      <c r="J1" t="s">
        <v>959</v>
      </c>
      <c r="K1" t="s">
        <v>960</v>
      </c>
      <c r="L1" t="s">
        <v>961</v>
      </c>
      <c r="M1" t="s">
        <v>962</v>
      </c>
      <c r="N1" t="s">
        <v>963</v>
      </c>
    </row>
    <row r="2" spans="1:14" x14ac:dyDescent="0.2">
      <c r="A2" t="s">
        <v>702</v>
      </c>
      <c r="B2" t="s">
        <v>701</v>
      </c>
      <c r="C2">
        <v>22.7</v>
      </c>
      <c r="D2">
        <v>27.3</v>
      </c>
      <c r="E2">
        <v>33</v>
      </c>
      <c r="F2">
        <v>45.1</v>
      </c>
      <c r="G2">
        <v>56.3</v>
      </c>
      <c r="H2">
        <v>63.4</v>
      </c>
      <c r="I2">
        <v>66.2</v>
      </c>
      <c r="J2">
        <v>64</v>
      </c>
      <c r="K2">
        <v>55.7</v>
      </c>
      <c r="L2">
        <v>42</v>
      </c>
      <c r="M2">
        <v>28.9</v>
      </c>
      <c r="N2">
        <v>25</v>
      </c>
    </row>
    <row r="3" spans="1:14" x14ac:dyDescent="0.2">
      <c r="A3" t="s">
        <v>859</v>
      </c>
      <c r="B3" t="s">
        <v>701</v>
      </c>
      <c r="C3">
        <v>0.6</v>
      </c>
      <c r="D3">
        <v>11.6</v>
      </c>
      <c r="E3">
        <v>24.9</v>
      </c>
      <c r="F3">
        <v>45.6</v>
      </c>
      <c r="G3">
        <v>62.1</v>
      </c>
      <c r="H3">
        <v>71.8</v>
      </c>
      <c r="I3">
        <v>72.7</v>
      </c>
      <c r="J3">
        <v>66.400000000000006</v>
      </c>
      <c r="K3">
        <v>55.3</v>
      </c>
      <c r="L3">
        <v>34.1</v>
      </c>
      <c r="M3">
        <v>12.3</v>
      </c>
      <c r="N3">
        <v>4.3</v>
      </c>
    </row>
    <row r="4" spans="1:14" x14ac:dyDescent="0.2">
      <c r="A4" t="s">
        <v>737</v>
      </c>
      <c r="B4" t="s">
        <v>701</v>
      </c>
      <c r="C4">
        <v>33.1</v>
      </c>
      <c r="D4">
        <v>35.700000000000003</v>
      </c>
      <c r="E4">
        <v>39.200000000000003</v>
      </c>
      <c r="F4">
        <v>48.7</v>
      </c>
      <c r="G4">
        <v>57.6</v>
      </c>
      <c r="H4">
        <v>62.4</v>
      </c>
      <c r="I4">
        <v>64</v>
      </c>
      <c r="J4">
        <v>62.9</v>
      </c>
      <c r="K4">
        <v>56.1</v>
      </c>
      <c r="L4">
        <v>47.3</v>
      </c>
      <c r="M4">
        <v>38.299999999999997</v>
      </c>
      <c r="N4">
        <v>34.700000000000003</v>
      </c>
    </row>
    <row r="5" spans="1:14" x14ac:dyDescent="0.2">
      <c r="A5" t="s">
        <v>602</v>
      </c>
      <c r="B5" t="s">
        <v>628</v>
      </c>
      <c r="C5">
        <v>54.5</v>
      </c>
      <c r="D5">
        <v>59.1</v>
      </c>
      <c r="E5">
        <v>67.099999999999994</v>
      </c>
      <c r="F5">
        <v>75</v>
      </c>
      <c r="G5">
        <v>82</v>
      </c>
      <c r="H5">
        <v>88.1</v>
      </c>
      <c r="I5">
        <v>91</v>
      </c>
      <c r="J5">
        <v>90.6</v>
      </c>
      <c r="K5">
        <v>85.9</v>
      </c>
      <c r="L5">
        <v>76</v>
      </c>
      <c r="M5">
        <v>65</v>
      </c>
      <c r="N5">
        <v>56.9</v>
      </c>
    </row>
    <row r="6" spans="1:14" x14ac:dyDescent="0.2">
      <c r="A6" t="s">
        <v>708</v>
      </c>
      <c r="B6" t="s">
        <v>628</v>
      </c>
      <c r="C6">
        <v>59.8</v>
      </c>
      <c r="D6">
        <v>64.7</v>
      </c>
      <c r="E6">
        <v>71.900000000000006</v>
      </c>
      <c r="F6">
        <v>78.8</v>
      </c>
      <c r="G6">
        <v>86</v>
      </c>
      <c r="H6">
        <v>91.5</v>
      </c>
      <c r="I6">
        <v>93.7</v>
      </c>
      <c r="J6">
        <v>93.6</v>
      </c>
      <c r="K6">
        <v>89.3</v>
      </c>
      <c r="L6">
        <v>80.2</v>
      </c>
      <c r="M6">
        <v>69.8</v>
      </c>
      <c r="N6">
        <v>61.9</v>
      </c>
    </row>
    <row r="7" spans="1:14" x14ac:dyDescent="0.2">
      <c r="A7" t="s">
        <v>855</v>
      </c>
      <c r="B7" t="s">
        <v>667</v>
      </c>
      <c r="C7">
        <v>50.5</v>
      </c>
      <c r="D7">
        <v>55.2</v>
      </c>
      <c r="E7">
        <v>63.7</v>
      </c>
      <c r="F7">
        <v>72.8</v>
      </c>
      <c r="G7">
        <v>80.5</v>
      </c>
      <c r="H7">
        <v>88.2</v>
      </c>
      <c r="I7">
        <v>91.7</v>
      </c>
      <c r="J7">
        <v>91.5</v>
      </c>
      <c r="K7">
        <v>85.1</v>
      </c>
      <c r="L7">
        <v>74.2</v>
      </c>
      <c r="M7">
        <v>61.9</v>
      </c>
      <c r="N7">
        <v>52.6</v>
      </c>
    </row>
    <row r="8" spans="1:14" x14ac:dyDescent="0.2">
      <c r="A8" t="s">
        <v>866</v>
      </c>
      <c r="B8" t="s">
        <v>605</v>
      </c>
      <c r="C8">
        <v>43.4</v>
      </c>
      <c r="D8">
        <v>45.7</v>
      </c>
      <c r="E8">
        <v>52.2</v>
      </c>
      <c r="F8">
        <v>59.2</v>
      </c>
      <c r="G8">
        <v>68.099999999999994</v>
      </c>
      <c r="H8">
        <v>79.099999999999994</v>
      </c>
      <c r="I8">
        <v>82</v>
      </c>
      <c r="J8">
        <v>79.3</v>
      </c>
      <c r="K8">
        <v>74.099999999999994</v>
      </c>
      <c r="L8">
        <v>63.6</v>
      </c>
      <c r="M8">
        <v>52.1</v>
      </c>
      <c r="N8">
        <v>43</v>
      </c>
    </row>
    <row r="9" spans="1:14" x14ac:dyDescent="0.2">
      <c r="A9" t="s">
        <v>559</v>
      </c>
      <c r="B9" t="s">
        <v>605</v>
      </c>
      <c r="C9">
        <v>67.599999999999994</v>
      </c>
      <c r="D9">
        <v>70.8</v>
      </c>
      <c r="E9">
        <v>78.099999999999994</v>
      </c>
      <c r="F9">
        <v>85.5</v>
      </c>
      <c r="G9">
        <v>94.5</v>
      </c>
      <c r="H9">
        <v>104.2</v>
      </c>
      <c r="I9">
        <v>106.5</v>
      </c>
      <c r="J9">
        <v>105.1</v>
      </c>
      <c r="K9">
        <v>100.4</v>
      </c>
      <c r="L9">
        <v>89.2</v>
      </c>
      <c r="M9">
        <v>76.5</v>
      </c>
      <c r="N9">
        <v>66.2</v>
      </c>
    </row>
    <row r="10" spans="1:14" x14ac:dyDescent="0.2">
      <c r="A10" t="s">
        <v>634</v>
      </c>
      <c r="B10" t="s">
        <v>605</v>
      </c>
      <c r="C10">
        <v>66.5</v>
      </c>
      <c r="D10">
        <v>69.2</v>
      </c>
      <c r="E10">
        <v>75.8</v>
      </c>
      <c r="F10">
        <v>82.9</v>
      </c>
      <c r="G10">
        <v>91.8</v>
      </c>
      <c r="H10">
        <v>101.2</v>
      </c>
      <c r="I10">
        <v>100.2</v>
      </c>
      <c r="J10">
        <v>98.6</v>
      </c>
      <c r="K10">
        <v>95.1</v>
      </c>
      <c r="L10">
        <v>86.3</v>
      </c>
      <c r="M10">
        <v>75.099999999999994</v>
      </c>
      <c r="N10">
        <v>65.5</v>
      </c>
    </row>
    <row r="11" spans="1:14" x14ac:dyDescent="0.2">
      <c r="A11" t="s">
        <v>964</v>
      </c>
      <c r="B11" t="s">
        <v>589</v>
      </c>
      <c r="C11">
        <v>55.1</v>
      </c>
      <c r="D11">
        <v>55.4</v>
      </c>
      <c r="E11">
        <v>56.1</v>
      </c>
      <c r="F11">
        <v>57.4</v>
      </c>
      <c r="G11">
        <v>59.6</v>
      </c>
      <c r="H11">
        <v>61.9</v>
      </c>
      <c r="I11">
        <v>63.1</v>
      </c>
      <c r="J11">
        <v>64</v>
      </c>
      <c r="K11">
        <v>63.9</v>
      </c>
      <c r="L11">
        <v>61.9</v>
      </c>
      <c r="M11">
        <v>57.8</v>
      </c>
      <c r="N11">
        <v>54.7</v>
      </c>
    </row>
    <row r="12" spans="1:14" x14ac:dyDescent="0.2">
      <c r="A12" t="s">
        <v>629</v>
      </c>
      <c r="B12" t="s">
        <v>589</v>
      </c>
      <c r="C12">
        <v>55.4</v>
      </c>
      <c r="D12">
        <v>61.3</v>
      </c>
      <c r="E12">
        <v>67.5</v>
      </c>
      <c r="F12">
        <v>73.7</v>
      </c>
      <c r="G12">
        <v>82.7</v>
      </c>
      <c r="H12">
        <v>91.4</v>
      </c>
      <c r="I12">
        <v>97.7</v>
      </c>
      <c r="J12">
        <v>96.5</v>
      </c>
      <c r="K12">
        <v>90.7</v>
      </c>
      <c r="L12">
        <v>78.7</v>
      </c>
      <c r="M12">
        <v>64.900000000000006</v>
      </c>
      <c r="N12">
        <v>55.3</v>
      </c>
    </row>
    <row r="13" spans="1:14" x14ac:dyDescent="0.2">
      <c r="A13" t="s">
        <v>551</v>
      </c>
      <c r="B13" t="s">
        <v>589</v>
      </c>
      <c r="C13">
        <v>68</v>
      </c>
      <c r="D13">
        <v>68</v>
      </c>
      <c r="E13">
        <v>69.900000000000006</v>
      </c>
      <c r="F13">
        <v>72.400000000000006</v>
      </c>
      <c r="G13">
        <v>73.7</v>
      </c>
      <c r="H13">
        <v>77.2</v>
      </c>
      <c r="I13">
        <v>82</v>
      </c>
      <c r="J13">
        <v>84</v>
      </c>
      <c r="K13">
        <v>83</v>
      </c>
      <c r="L13">
        <v>78.599999999999994</v>
      </c>
      <c r="M13">
        <v>72.900000000000006</v>
      </c>
      <c r="N13">
        <v>67.400000000000006</v>
      </c>
    </row>
    <row r="14" spans="1:14" x14ac:dyDescent="0.2">
      <c r="A14" t="s">
        <v>561</v>
      </c>
      <c r="B14" t="s">
        <v>589</v>
      </c>
      <c r="C14">
        <v>67.7</v>
      </c>
      <c r="D14">
        <v>67.900000000000006</v>
      </c>
      <c r="E14">
        <v>72.099999999999994</v>
      </c>
      <c r="F14">
        <v>75.900000000000006</v>
      </c>
      <c r="G14">
        <v>79.900000000000006</v>
      </c>
      <c r="H14">
        <v>86.7</v>
      </c>
      <c r="I14">
        <v>93.3</v>
      </c>
      <c r="J14">
        <v>94.9</v>
      </c>
      <c r="K14">
        <v>91.3</v>
      </c>
      <c r="L14">
        <v>82.7</v>
      </c>
      <c r="M14">
        <v>74.5</v>
      </c>
      <c r="N14">
        <v>66.8</v>
      </c>
    </row>
    <row r="15" spans="1:14" x14ac:dyDescent="0.2">
      <c r="A15" t="s">
        <v>576</v>
      </c>
      <c r="B15" t="s">
        <v>589</v>
      </c>
      <c r="C15">
        <v>56</v>
      </c>
      <c r="D15">
        <v>61.3</v>
      </c>
      <c r="E15">
        <v>66.3</v>
      </c>
      <c r="F15">
        <v>72.099999999999994</v>
      </c>
      <c r="G15">
        <v>80.3</v>
      </c>
      <c r="H15">
        <v>87.9</v>
      </c>
      <c r="I15">
        <v>92.6</v>
      </c>
      <c r="J15">
        <v>91.9</v>
      </c>
      <c r="K15">
        <v>88.5</v>
      </c>
      <c r="L15">
        <v>78.8</v>
      </c>
      <c r="M15">
        <v>65</v>
      </c>
      <c r="N15">
        <v>56</v>
      </c>
    </row>
    <row r="16" spans="1:14" x14ac:dyDescent="0.2">
      <c r="A16" t="s">
        <v>567</v>
      </c>
      <c r="B16" t="s">
        <v>589</v>
      </c>
      <c r="C16">
        <v>66.400000000000006</v>
      </c>
      <c r="D16">
        <v>66.2</v>
      </c>
      <c r="E16">
        <v>67</v>
      </c>
      <c r="F16">
        <v>68.8</v>
      </c>
      <c r="G16">
        <v>69.5</v>
      </c>
      <c r="H16">
        <v>71.7</v>
      </c>
      <c r="I16">
        <v>75.3</v>
      </c>
      <c r="J16">
        <v>77.3</v>
      </c>
      <c r="K16">
        <v>77.2</v>
      </c>
      <c r="L16">
        <v>74.599999999999994</v>
      </c>
      <c r="M16">
        <v>70.7</v>
      </c>
      <c r="N16">
        <v>66</v>
      </c>
    </row>
    <row r="17" spans="1:14" x14ac:dyDescent="0.2">
      <c r="A17" t="s">
        <v>562</v>
      </c>
      <c r="B17" t="s">
        <v>589</v>
      </c>
      <c r="C17">
        <v>57.8</v>
      </c>
      <c r="D17">
        <v>60.4</v>
      </c>
      <c r="E17">
        <v>62.1</v>
      </c>
      <c r="F17">
        <v>63</v>
      </c>
      <c r="G17">
        <v>64.099999999999994</v>
      </c>
      <c r="H17">
        <v>66.5</v>
      </c>
      <c r="I17">
        <v>66.3</v>
      </c>
      <c r="J17">
        <v>67.900000000000006</v>
      </c>
      <c r="K17">
        <v>70.2</v>
      </c>
      <c r="L17">
        <v>69.8</v>
      </c>
      <c r="M17">
        <v>63.7</v>
      </c>
      <c r="N17">
        <v>57.9</v>
      </c>
    </row>
    <row r="18" spans="1:14" x14ac:dyDescent="0.2">
      <c r="A18" t="s">
        <v>591</v>
      </c>
      <c r="B18" t="s">
        <v>589</v>
      </c>
      <c r="C18">
        <v>59.8</v>
      </c>
      <c r="D18">
        <v>62.4</v>
      </c>
      <c r="E18">
        <v>65.900000000000006</v>
      </c>
      <c r="F18">
        <v>69.2</v>
      </c>
      <c r="G18">
        <v>73.8</v>
      </c>
      <c r="H18">
        <v>79.099999999999994</v>
      </c>
      <c r="I18">
        <v>80.8</v>
      </c>
      <c r="J18">
        <v>81.400000000000006</v>
      </c>
      <c r="K18">
        <v>80.7</v>
      </c>
      <c r="L18">
        <v>75.8</v>
      </c>
      <c r="M18">
        <v>66.099999999999994</v>
      </c>
      <c r="N18">
        <v>59.5</v>
      </c>
    </row>
    <row r="19" spans="1:14" x14ac:dyDescent="0.2">
      <c r="A19" t="s">
        <v>865</v>
      </c>
      <c r="B19" t="s">
        <v>589</v>
      </c>
      <c r="C19" s="5">
        <v>66.8</v>
      </c>
      <c r="D19" s="5">
        <v>66.900000000000006</v>
      </c>
      <c r="E19" s="5">
        <v>68.3</v>
      </c>
      <c r="F19" s="5">
        <v>71</v>
      </c>
      <c r="G19" s="5">
        <v>71.599999999999994</v>
      </c>
      <c r="H19" s="5">
        <v>73</v>
      </c>
      <c r="I19" s="5">
        <v>76.400000000000006</v>
      </c>
      <c r="J19" s="5">
        <v>77.7</v>
      </c>
      <c r="K19" s="5">
        <v>77.7</v>
      </c>
      <c r="L19" s="5">
        <v>75.7</v>
      </c>
      <c r="M19" s="5">
        <v>71</v>
      </c>
      <c r="N19" s="5">
        <v>66.2</v>
      </c>
    </row>
    <row r="20" spans="1:14" x14ac:dyDescent="0.2">
      <c r="A20" t="s">
        <v>965</v>
      </c>
      <c r="B20" t="s">
        <v>589</v>
      </c>
      <c r="C20">
        <v>55.7</v>
      </c>
      <c r="D20">
        <v>58.2</v>
      </c>
      <c r="E20">
        <v>62.1</v>
      </c>
      <c r="F20">
        <v>66.7</v>
      </c>
      <c r="G20">
        <v>75.599999999999994</v>
      </c>
      <c r="H20">
        <v>85.3</v>
      </c>
      <c r="I20">
        <v>92.8</v>
      </c>
      <c r="J20">
        <v>91.9</v>
      </c>
      <c r="K20">
        <v>86.7</v>
      </c>
      <c r="L20">
        <v>76.2</v>
      </c>
      <c r="M20">
        <v>63.2</v>
      </c>
      <c r="N20">
        <v>55.1</v>
      </c>
    </row>
    <row r="21" spans="1:14" x14ac:dyDescent="0.2">
      <c r="A21" t="s">
        <v>867</v>
      </c>
      <c r="B21" t="s">
        <v>613</v>
      </c>
      <c r="C21">
        <v>45</v>
      </c>
      <c r="D21">
        <v>46.5</v>
      </c>
      <c r="E21">
        <v>54.9</v>
      </c>
      <c r="F21">
        <v>61</v>
      </c>
      <c r="G21">
        <v>70.7</v>
      </c>
      <c r="H21">
        <v>81.599999999999994</v>
      </c>
      <c r="I21">
        <v>86.5</v>
      </c>
      <c r="J21">
        <v>83.6</v>
      </c>
      <c r="K21">
        <v>77.099999999999994</v>
      </c>
      <c r="L21">
        <v>64.7</v>
      </c>
      <c r="M21">
        <v>52.9</v>
      </c>
      <c r="N21">
        <v>44.6</v>
      </c>
    </row>
    <row r="22" spans="1:14" x14ac:dyDescent="0.2">
      <c r="A22" t="s">
        <v>568</v>
      </c>
      <c r="B22" t="s">
        <v>613</v>
      </c>
      <c r="C22">
        <v>44.6</v>
      </c>
      <c r="D22">
        <v>45.7</v>
      </c>
      <c r="E22">
        <v>55.7</v>
      </c>
      <c r="F22">
        <v>61.7</v>
      </c>
      <c r="G22">
        <v>71.2</v>
      </c>
      <c r="H22">
        <v>83.4</v>
      </c>
      <c r="I22">
        <v>89.9</v>
      </c>
      <c r="J22">
        <v>87.5</v>
      </c>
      <c r="K22">
        <v>79.599999999999994</v>
      </c>
      <c r="L22">
        <v>65.3</v>
      </c>
      <c r="M22">
        <v>52.9</v>
      </c>
      <c r="N22">
        <v>44</v>
      </c>
    </row>
    <row r="23" spans="1:14" x14ac:dyDescent="0.2">
      <c r="A23" t="s">
        <v>631</v>
      </c>
      <c r="B23" t="s">
        <v>632</v>
      </c>
      <c r="C23">
        <v>35.799999999999997</v>
      </c>
      <c r="D23">
        <v>38.5</v>
      </c>
      <c r="E23">
        <v>47.3</v>
      </c>
      <c r="F23">
        <v>60.5</v>
      </c>
      <c r="G23">
        <v>71.7</v>
      </c>
      <c r="H23">
        <v>79.900000000000006</v>
      </c>
      <c r="I23">
        <v>85.2</v>
      </c>
      <c r="J23">
        <v>83.3</v>
      </c>
      <c r="K23">
        <v>75.7</v>
      </c>
      <c r="L23">
        <v>63.5</v>
      </c>
      <c r="M23">
        <v>51.5</v>
      </c>
      <c r="N23">
        <v>40.6</v>
      </c>
    </row>
    <row r="24" spans="1:14" x14ac:dyDescent="0.2">
      <c r="A24" t="s">
        <v>689</v>
      </c>
      <c r="B24" t="s">
        <v>632</v>
      </c>
      <c r="C24">
        <v>38.1</v>
      </c>
      <c r="D24">
        <v>40.200000000000003</v>
      </c>
      <c r="E24">
        <v>47</v>
      </c>
      <c r="F24">
        <v>57.8</v>
      </c>
      <c r="G24">
        <v>67.7</v>
      </c>
      <c r="H24">
        <v>76.400000000000006</v>
      </c>
      <c r="I24">
        <v>82.1</v>
      </c>
      <c r="J24">
        <v>81</v>
      </c>
      <c r="K24">
        <v>74.7</v>
      </c>
      <c r="L24">
        <v>63.8</v>
      </c>
      <c r="M24">
        <v>53.4</v>
      </c>
      <c r="N24">
        <v>43.7</v>
      </c>
    </row>
    <row r="25" spans="1:14" x14ac:dyDescent="0.2">
      <c r="A25" t="s">
        <v>556</v>
      </c>
      <c r="B25" t="s">
        <v>609</v>
      </c>
      <c r="C25">
        <v>44.8</v>
      </c>
      <c r="D25">
        <v>48.3</v>
      </c>
      <c r="E25">
        <v>56.5</v>
      </c>
      <c r="F25">
        <v>68</v>
      </c>
      <c r="G25">
        <v>76.5</v>
      </c>
      <c r="H25">
        <v>85.1</v>
      </c>
      <c r="I25">
        <v>89.6</v>
      </c>
      <c r="J25">
        <v>87.8</v>
      </c>
      <c r="K25">
        <v>80.7</v>
      </c>
      <c r="L25">
        <v>69.400000000000006</v>
      </c>
      <c r="M25">
        <v>58.2</v>
      </c>
      <c r="N25">
        <v>48.8</v>
      </c>
    </row>
    <row r="26" spans="1:14" x14ac:dyDescent="0.2">
      <c r="A26" t="s">
        <v>723</v>
      </c>
      <c r="B26" t="s">
        <v>722</v>
      </c>
      <c r="C26">
        <v>44.4</v>
      </c>
      <c r="D26">
        <v>47.4</v>
      </c>
      <c r="E26">
        <v>54.5</v>
      </c>
      <c r="F26">
        <v>66</v>
      </c>
      <c r="G26">
        <v>74.400000000000006</v>
      </c>
      <c r="H26">
        <v>82.7</v>
      </c>
      <c r="I26">
        <v>86.9</v>
      </c>
      <c r="J26">
        <v>85.1</v>
      </c>
      <c r="K26">
        <v>79.2</v>
      </c>
      <c r="L26">
        <v>68.900000000000006</v>
      </c>
      <c r="M26">
        <v>58</v>
      </c>
      <c r="N26">
        <v>48.6</v>
      </c>
    </row>
    <row r="27" spans="1:14" x14ac:dyDescent="0.2">
      <c r="A27" t="s">
        <v>593</v>
      </c>
      <c r="B27" t="s">
        <v>608</v>
      </c>
      <c r="C27">
        <v>65.5</v>
      </c>
      <c r="D27">
        <v>68.900000000000006</v>
      </c>
      <c r="E27">
        <v>74.3</v>
      </c>
      <c r="F27">
        <v>79.8</v>
      </c>
      <c r="G27">
        <v>85.9</v>
      </c>
      <c r="H27">
        <v>89.9</v>
      </c>
      <c r="I27">
        <v>91.9</v>
      </c>
      <c r="J27">
        <v>90.7</v>
      </c>
      <c r="K27">
        <v>87.1</v>
      </c>
      <c r="L27">
        <v>80.8</v>
      </c>
      <c r="M27">
        <v>73.099999999999994</v>
      </c>
      <c r="N27">
        <v>67.5</v>
      </c>
    </row>
    <row r="28" spans="1:14" x14ac:dyDescent="0.2">
      <c r="A28" t="s">
        <v>966</v>
      </c>
      <c r="B28" t="s">
        <v>608</v>
      </c>
      <c r="C28">
        <v>75.8</v>
      </c>
      <c r="D28">
        <v>77.400000000000006</v>
      </c>
      <c r="E28">
        <v>79.599999999999994</v>
      </c>
      <c r="F28">
        <v>82.6</v>
      </c>
      <c r="G28">
        <v>85.9</v>
      </c>
      <c r="H28">
        <v>88.7</v>
      </c>
      <c r="I28">
        <v>90.2</v>
      </c>
      <c r="J28">
        <v>90.6</v>
      </c>
      <c r="K28">
        <v>89</v>
      </c>
      <c r="L28">
        <v>85.8</v>
      </c>
      <c r="M28">
        <v>81</v>
      </c>
      <c r="N28">
        <v>77.7</v>
      </c>
    </row>
    <row r="29" spans="1:14" x14ac:dyDescent="0.2">
      <c r="A29" t="s">
        <v>555</v>
      </c>
      <c r="B29" t="s">
        <v>608</v>
      </c>
      <c r="C29">
        <v>76.2</v>
      </c>
      <c r="D29">
        <v>78.2</v>
      </c>
      <c r="E29">
        <v>80.599999999999994</v>
      </c>
      <c r="F29">
        <v>83.6</v>
      </c>
      <c r="G29">
        <v>86.7</v>
      </c>
      <c r="H29">
        <v>89.3</v>
      </c>
      <c r="I29">
        <v>90.6</v>
      </c>
      <c r="J29">
        <v>90.7</v>
      </c>
      <c r="K29">
        <v>89</v>
      </c>
      <c r="L29">
        <v>85.9</v>
      </c>
      <c r="M29">
        <v>81.3</v>
      </c>
      <c r="N29">
        <v>78.2</v>
      </c>
    </row>
    <row r="30" spans="1:14" x14ac:dyDescent="0.2">
      <c r="A30" t="s">
        <v>569</v>
      </c>
      <c r="B30" t="s">
        <v>608</v>
      </c>
      <c r="C30">
        <v>71.8</v>
      </c>
      <c r="D30">
        <v>74.900000000000006</v>
      </c>
      <c r="E30">
        <v>78.900000000000006</v>
      </c>
      <c r="F30">
        <v>83.6</v>
      </c>
      <c r="G30">
        <v>88.4</v>
      </c>
      <c r="H30">
        <v>90.8</v>
      </c>
      <c r="I30">
        <v>92</v>
      </c>
      <c r="J30">
        <v>91.6</v>
      </c>
      <c r="K30">
        <v>89.6</v>
      </c>
      <c r="L30">
        <v>84.7</v>
      </c>
      <c r="M30">
        <v>78.3</v>
      </c>
      <c r="N30">
        <v>73.8</v>
      </c>
    </row>
    <row r="31" spans="1:14" x14ac:dyDescent="0.2">
      <c r="A31" t="s">
        <v>709</v>
      </c>
      <c r="B31" t="s">
        <v>608</v>
      </c>
      <c r="C31">
        <v>63.9</v>
      </c>
      <c r="D31">
        <v>67.8</v>
      </c>
      <c r="E31">
        <v>74.2</v>
      </c>
      <c r="F31">
        <v>80.2</v>
      </c>
      <c r="G31">
        <v>87.4</v>
      </c>
      <c r="H31">
        <v>90.8</v>
      </c>
      <c r="I31">
        <v>92.1</v>
      </c>
      <c r="J31">
        <v>91.5</v>
      </c>
      <c r="K31">
        <v>88.6</v>
      </c>
      <c r="L31">
        <v>81.7</v>
      </c>
      <c r="M31">
        <v>72.5</v>
      </c>
      <c r="N31">
        <v>65.900000000000006</v>
      </c>
    </row>
    <row r="32" spans="1:14" x14ac:dyDescent="0.2">
      <c r="A32" t="s">
        <v>566</v>
      </c>
      <c r="B32" t="s">
        <v>608</v>
      </c>
      <c r="C32">
        <v>71.3</v>
      </c>
      <c r="D32">
        <v>74</v>
      </c>
      <c r="E32">
        <v>77.8</v>
      </c>
      <c r="F32">
        <v>83</v>
      </c>
      <c r="G32">
        <v>88.3</v>
      </c>
      <c r="H32">
        <v>90.5</v>
      </c>
      <c r="I32">
        <v>91</v>
      </c>
      <c r="J32">
        <v>91.2</v>
      </c>
      <c r="K32">
        <v>90.2</v>
      </c>
      <c r="L32">
        <v>85.6</v>
      </c>
      <c r="M32">
        <v>78.900000000000006</v>
      </c>
      <c r="N32">
        <v>73.900000000000006</v>
      </c>
    </row>
    <row r="33" spans="1:14" x14ac:dyDescent="0.2">
      <c r="A33" t="s">
        <v>557</v>
      </c>
      <c r="B33" t="s">
        <v>603</v>
      </c>
      <c r="C33">
        <v>54</v>
      </c>
      <c r="D33">
        <v>58.2</v>
      </c>
      <c r="E33">
        <v>65.900000000000006</v>
      </c>
      <c r="F33">
        <v>73.8</v>
      </c>
      <c r="G33">
        <v>81.099999999999994</v>
      </c>
      <c r="H33">
        <v>87.1</v>
      </c>
      <c r="I33">
        <v>90.1</v>
      </c>
      <c r="J33">
        <v>89</v>
      </c>
      <c r="K33">
        <v>83.9</v>
      </c>
      <c r="L33">
        <v>74.400000000000006</v>
      </c>
      <c r="M33">
        <v>64.099999999999994</v>
      </c>
      <c r="N33">
        <v>56.2</v>
      </c>
    </row>
    <row r="34" spans="1:14" x14ac:dyDescent="0.2">
      <c r="A34" t="s">
        <v>864</v>
      </c>
      <c r="B34" t="s">
        <v>603</v>
      </c>
      <c r="C34">
        <v>61.4</v>
      </c>
      <c r="D34">
        <v>65.099999999999994</v>
      </c>
      <c r="E34">
        <v>71.400000000000006</v>
      </c>
      <c r="F34">
        <v>78.2</v>
      </c>
      <c r="G34">
        <v>84.7</v>
      </c>
      <c r="H34">
        <v>89.6</v>
      </c>
      <c r="I34">
        <v>92.3</v>
      </c>
      <c r="J34">
        <v>90.8</v>
      </c>
      <c r="K34">
        <v>86.4</v>
      </c>
      <c r="L34">
        <v>79</v>
      </c>
      <c r="M34">
        <v>70.2</v>
      </c>
      <c r="N34">
        <v>63.7</v>
      </c>
    </row>
    <row r="35" spans="1:14" x14ac:dyDescent="0.2">
      <c r="A35" t="s">
        <v>639</v>
      </c>
      <c r="B35" t="s">
        <v>640</v>
      </c>
      <c r="C35">
        <v>80.5</v>
      </c>
      <c r="D35">
        <v>80.5</v>
      </c>
      <c r="E35">
        <v>81.2</v>
      </c>
      <c r="F35">
        <v>83.1</v>
      </c>
      <c r="G35">
        <v>84.8</v>
      </c>
      <c r="H35">
        <v>86.9</v>
      </c>
      <c r="I35">
        <v>88.1</v>
      </c>
      <c r="J35">
        <v>88.8</v>
      </c>
      <c r="K35">
        <v>88.4</v>
      </c>
      <c r="L35">
        <v>86.9</v>
      </c>
      <c r="M35">
        <v>84.1</v>
      </c>
      <c r="N35">
        <v>81.8</v>
      </c>
    </row>
    <row r="36" spans="1:14" x14ac:dyDescent="0.2">
      <c r="A36" t="s">
        <v>871</v>
      </c>
      <c r="B36" t="s">
        <v>670</v>
      </c>
      <c r="C36">
        <v>29.9</v>
      </c>
      <c r="D36">
        <v>34.4</v>
      </c>
      <c r="E36">
        <v>48.3</v>
      </c>
      <c r="F36">
        <v>61.4</v>
      </c>
      <c r="G36">
        <v>72.5</v>
      </c>
      <c r="H36">
        <v>81.3</v>
      </c>
      <c r="I36">
        <v>83.8</v>
      </c>
      <c r="J36">
        <v>82</v>
      </c>
      <c r="K36">
        <v>76.2</v>
      </c>
      <c r="L36">
        <v>63.4</v>
      </c>
      <c r="M36">
        <v>48.3</v>
      </c>
      <c r="N36">
        <v>35.1</v>
      </c>
    </row>
    <row r="37" spans="1:14" x14ac:dyDescent="0.2">
      <c r="A37" t="s">
        <v>669</v>
      </c>
      <c r="B37" t="s">
        <v>670</v>
      </c>
      <c r="C37">
        <v>30.9</v>
      </c>
      <c r="D37">
        <v>35.700000000000003</v>
      </c>
      <c r="E37">
        <v>49.2</v>
      </c>
      <c r="F37">
        <v>62</v>
      </c>
      <c r="G37">
        <v>72.400000000000006</v>
      </c>
      <c r="H37">
        <v>81.900000000000006</v>
      </c>
      <c r="I37">
        <v>85.6</v>
      </c>
      <c r="J37">
        <v>83.6</v>
      </c>
      <c r="K37">
        <v>76.900000000000006</v>
      </c>
      <c r="L37">
        <v>63.4</v>
      </c>
      <c r="M37">
        <v>48.3</v>
      </c>
      <c r="N37">
        <v>35.9</v>
      </c>
    </row>
    <row r="38" spans="1:14" x14ac:dyDescent="0.2">
      <c r="A38" t="s">
        <v>661</v>
      </c>
      <c r="B38" t="s">
        <v>662</v>
      </c>
      <c r="C38">
        <v>38.799999999999997</v>
      </c>
      <c r="D38">
        <v>46</v>
      </c>
      <c r="E38">
        <v>55.5</v>
      </c>
      <c r="F38">
        <v>62.3</v>
      </c>
      <c r="G38">
        <v>72.3</v>
      </c>
      <c r="H38">
        <v>81.400000000000006</v>
      </c>
      <c r="I38">
        <v>92.7</v>
      </c>
      <c r="J38">
        <v>90.7</v>
      </c>
      <c r="K38">
        <v>80</v>
      </c>
      <c r="L38">
        <v>64.8</v>
      </c>
      <c r="M38">
        <v>48.8</v>
      </c>
      <c r="N38">
        <v>38.799999999999997</v>
      </c>
    </row>
    <row r="39" spans="1:14" x14ac:dyDescent="0.2">
      <c r="A39" t="s">
        <v>872</v>
      </c>
      <c r="B39" t="s">
        <v>662</v>
      </c>
      <c r="C39">
        <v>34.5</v>
      </c>
      <c r="D39">
        <v>39.5</v>
      </c>
      <c r="E39">
        <v>48.6</v>
      </c>
      <c r="F39">
        <v>56.9</v>
      </c>
      <c r="G39">
        <v>67.099999999999994</v>
      </c>
      <c r="H39">
        <v>73.7</v>
      </c>
      <c r="I39">
        <v>84.4</v>
      </c>
      <c r="J39">
        <v>83.8</v>
      </c>
      <c r="K39">
        <v>73.599999999999994</v>
      </c>
      <c r="L39">
        <v>57.7</v>
      </c>
      <c r="M39">
        <v>42.3</v>
      </c>
      <c r="N39">
        <v>33.799999999999997</v>
      </c>
    </row>
    <row r="40" spans="1:14" x14ac:dyDescent="0.2">
      <c r="A40" t="s">
        <v>1075</v>
      </c>
      <c r="B40" t="s">
        <v>662</v>
      </c>
      <c r="C40">
        <v>36.9</v>
      </c>
      <c r="D40">
        <v>42.2</v>
      </c>
      <c r="E40">
        <v>52.6</v>
      </c>
      <c r="F40">
        <v>59.1</v>
      </c>
      <c r="G40">
        <v>68</v>
      </c>
      <c r="H40">
        <v>77</v>
      </c>
      <c r="I40">
        <v>86.8</v>
      </c>
      <c r="J40">
        <v>85.5</v>
      </c>
      <c r="K40">
        <v>75.900000000000006</v>
      </c>
      <c r="L40">
        <v>62.7</v>
      </c>
      <c r="M40">
        <v>48.3</v>
      </c>
      <c r="N40">
        <v>37.1</v>
      </c>
    </row>
    <row r="41" spans="1:14" x14ac:dyDescent="0.2">
      <c r="A41" t="s">
        <v>552</v>
      </c>
      <c r="B41" t="s">
        <v>590</v>
      </c>
      <c r="C41">
        <v>32.799999999999997</v>
      </c>
      <c r="D41">
        <v>36.799999999999997</v>
      </c>
      <c r="E41">
        <v>47.9</v>
      </c>
      <c r="F41">
        <v>60</v>
      </c>
      <c r="G41">
        <v>71.5</v>
      </c>
      <c r="H41">
        <v>81.2</v>
      </c>
      <c r="I41">
        <v>85.2</v>
      </c>
      <c r="J41">
        <v>83.1</v>
      </c>
      <c r="K41">
        <v>76.5</v>
      </c>
      <c r="L41">
        <v>63.7</v>
      </c>
      <c r="M41">
        <v>49.6</v>
      </c>
      <c r="N41">
        <v>37.700000000000003</v>
      </c>
    </row>
    <row r="42" spans="1:14" x14ac:dyDescent="0.2">
      <c r="A42" t="s">
        <v>720</v>
      </c>
      <c r="B42" t="s">
        <v>590</v>
      </c>
      <c r="C42">
        <v>35.9</v>
      </c>
      <c r="D42">
        <v>41.1</v>
      </c>
      <c r="E42">
        <v>53.1</v>
      </c>
      <c r="F42">
        <v>65.599999999999994</v>
      </c>
      <c r="G42">
        <v>75.7</v>
      </c>
      <c r="H42">
        <v>84</v>
      </c>
      <c r="I42">
        <v>86.8</v>
      </c>
      <c r="J42">
        <v>85.4</v>
      </c>
      <c r="K42">
        <v>80.2</v>
      </c>
      <c r="L42">
        <v>67.400000000000006</v>
      </c>
      <c r="M42">
        <v>52.7</v>
      </c>
      <c r="N42">
        <v>40.700000000000003</v>
      </c>
    </row>
    <row r="43" spans="1:14" x14ac:dyDescent="0.2">
      <c r="A43" t="s">
        <v>582</v>
      </c>
      <c r="B43" t="s">
        <v>620</v>
      </c>
      <c r="C43">
        <v>36.1</v>
      </c>
      <c r="D43">
        <v>40.799999999999997</v>
      </c>
      <c r="E43">
        <v>51.9</v>
      </c>
      <c r="F43">
        <v>63.9</v>
      </c>
      <c r="G43">
        <v>73.400000000000006</v>
      </c>
      <c r="H43">
        <v>82</v>
      </c>
      <c r="I43">
        <v>85.2</v>
      </c>
      <c r="J43">
        <v>84.3</v>
      </c>
      <c r="K43">
        <v>78.2</v>
      </c>
      <c r="L43">
        <v>65.599999999999994</v>
      </c>
      <c r="M43">
        <v>51.8</v>
      </c>
      <c r="N43">
        <v>40.4</v>
      </c>
    </row>
    <row r="44" spans="1:14" x14ac:dyDescent="0.2">
      <c r="A44" t="s">
        <v>717</v>
      </c>
      <c r="B44" t="s">
        <v>677</v>
      </c>
      <c r="C44">
        <v>40.4</v>
      </c>
      <c r="D44">
        <v>45.7</v>
      </c>
      <c r="E44">
        <v>57.1</v>
      </c>
      <c r="F44">
        <v>67</v>
      </c>
      <c r="G44">
        <v>76.400000000000006</v>
      </c>
      <c r="H44">
        <v>85.8</v>
      </c>
      <c r="I44">
        <v>90.2</v>
      </c>
      <c r="J44">
        <v>88.9</v>
      </c>
      <c r="K44">
        <v>81</v>
      </c>
      <c r="L44">
        <v>68.900000000000006</v>
      </c>
      <c r="M44">
        <v>55.2</v>
      </c>
      <c r="N44">
        <v>43.8</v>
      </c>
    </row>
    <row r="45" spans="1:14" x14ac:dyDescent="0.2">
      <c r="A45" t="s">
        <v>969</v>
      </c>
      <c r="B45" t="s">
        <v>677</v>
      </c>
      <c r="C45">
        <v>43.9</v>
      </c>
      <c r="D45">
        <v>48.9</v>
      </c>
      <c r="E45">
        <v>59.1</v>
      </c>
      <c r="F45">
        <v>68.3</v>
      </c>
      <c r="G45">
        <v>77.5</v>
      </c>
      <c r="H45">
        <v>87.9</v>
      </c>
      <c r="I45">
        <v>92.6</v>
      </c>
      <c r="J45">
        <v>91</v>
      </c>
      <c r="K45">
        <v>83.3</v>
      </c>
      <c r="L45">
        <v>70.8</v>
      </c>
      <c r="M45">
        <v>57</v>
      </c>
      <c r="N45">
        <v>45.8</v>
      </c>
    </row>
    <row r="46" spans="1:14" x14ac:dyDescent="0.2">
      <c r="A46" t="s">
        <v>863</v>
      </c>
      <c r="B46" t="s">
        <v>626</v>
      </c>
      <c r="C46" s="5">
        <v>46.2</v>
      </c>
      <c r="D46" s="5">
        <v>51</v>
      </c>
      <c r="E46" s="5">
        <v>60.1</v>
      </c>
      <c r="F46" s="5">
        <v>70.7</v>
      </c>
      <c r="G46" s="5">
        <v>78.7</v>
      </c>
      <c r="H46" s="5">
        <v>86.6</v>
      </c>
      <c r="I46" s="5">
        <v>89.7</v>
      </c>
      <c r="J46" s="5">
        <v>89.3</v>
      </c>
      <c r="K46" s="5">
        <v>83</v>
      </c>
      <c r="L46" s="5">
        <v>72</v>
      </c>
      <c r="M46" s="5">
        <v>59.2</v>
      </c>
      <c r="N46" s="5">
        <v>49.4</v>
      </c>
    </row>
    <row r="47" spans="1:14" x14ac:dyDescent="0.2">
      <c r="A47" t="s">
        <v>739</v>
      </c>
      <c r="B47" t="s">
        <v>626</v>
      </c>
      <c r="C47">
        <v>43.1</v>
      </c>
      <c r="D47">
        <v>47.6</v>
      </c>
      <c r="E47">
        <v>57.2</v>
      </c>
      <c r="F47">
        <v>68.5</v>
      </c>
      <c r="G47">
        <v>76.7</v>
      </c>
      <c r="H47">
        <v>84.7</v>
      </c>
      <c r="I47">
        <v>87.6</v>
      </c>
      <c r="J47">
        <v>87.1</v>
      </c>
      <c r="K47">
        <v>81.099999999999994</v>
      </c>
      <c r="L47">
        <v>69.5</v>
      </c>
      <c r="M47">
        <v>56.7</v>
      </c>
      <c r="N47">
        <v>46.8</v>
      </c>
    </row>
    <row r="48" spans="1:14" x14ac:dyDescent="0.2">
      <c r="A48" t="s">
        <v>598</v>
      </c>
      <c r="B48" t="s">
        <v>626</v>
      </c>
      <c r="C48">
        <v>43.6</v>
      </c>
      <c r="D48">
        <v>48.3</v>
      </c>
      <c r="E48">
        <v>58.1</v>
      </c>
      <c r="F48">
        <v>69.599999999999994</v>
      </c>
      <c r="G48">
        <v>77.8</v>
      </c>
      <c r="H48">
        <v>85.7</v>
      </c>
      <c r="I48">
        <v>89</v>
      </c>
      <c r="J48">
        <v>88.4</v>
      </c>
      <c r="K48">
        <v>82.2</v>
      </c>
      <c r="L48">
        <v>70.5</v>
      </c>
      <c r="M48">
        <v>57.6</v>
      </c>
      <c r="N48">
        <v>47.2</v>
      </c>
    </row>
    <row r="49" spans="1:14" x14ac:dyDescent="0.2">
      <c r="A49" t="s">
        <v>654</v>
      </c>
      <c r="B49" t="s">
        <v>645</v>
      </c>
      <c r="C49">
        <v>62.3</v>
      </c>
      <c r="D49">
        <v>66.599999999999994</v>
      </c>
      <c r="E49">
        <v>73</v>
      </c>
      <c r="F49">
        <v>79.099999999999994</v>
      </c>
      <c r="G49">
        <v>85.8</v>
      </c>
      <c r="H49">
        <v>90.5</v>
      </c>
      <c r="I49">
        <v>91.9</v>
      </c>
      <c r="J49">
        <v>92.2</v>
      </c>
      <c r="K49">
        <v>88.7</v>
      </c>
      <c r="L49">
        <v>80.900000000000006</v>
      </c>
      <c r="M49">
        <v>71</v>
      </c>
      <c r="N49">
        <v>64.3</v>
      </c>
    </row>
    <row r="50" spans="1:14" x14ac:dyDescent="0.2">
      <c r="A50" t="s">
        <v>644</v>
      </c>
      <c r="B50" t="s">
        <v>645</v>
      </c>
      <c r="C50">
        <v>62.5</v>
      </c>
      <c r="D50">
        <v>66.400000000000006</v>
      </c>
      <c r="E50">
        <v>72.3</v>
      </c>
      <c r="F50">
        <v>78.5</v>
      </c>
      <c r="G50">
        <v>85.3</v>
      </c>
      <c r="H50">
        <v>90</v>
      </c>
      <c r="I50">
        <v>91.4</v>
      </c>
      <c r="J50">
        <v>91.3</v>
      </c>
      <c r="K50">
        <v>88.1</v>
      </c>
      <c r="L50">
        <v>80.599999999999994</v>
      </c>
      <c r="M50">
        <v>71.2</v>
      </c>
      <c r="N50">
        <v>64.8</v>
      </c>
    </row>
    <row r="51" spans="1:14" x14ac:dyDescent="0.2">
      <c r="A51" t="s">
        <v>560</v>
      </c>
      <c r="B51" t="s">
        <v>606</v>
      </c>
      <c r="C51">
        <v>36.799999999999997</v>
      </c>
      <c r="D51">
        <v>39</v>
      </c>
      <c r="E51">
        <v>45.5</v>
      </c>
      <c r="F51">
        <v>56.4</v>
      </c>
      <c r="G51">
        <v>66.5</v>
      </c>
      <c r="H51">
        <v>76.2</v>
      </c>
      <c r="I51">
        <v>82.1</v>
      </c>
      <c r="J51">
        <v>80.400000000000006</v>
      </c>
      <c r="K51">
        <v>73.099999999999994</v>
      </c>
      <c r="L51">
        <v>62.1</v>
      </c>
      <c r="M51">
        <v>51.6</v>
      </c>
      <c r="N51">
        <v>42.2</v>
      </c>
    </row>
    <row r="52" spans="1:14" x14ac:dyDescent="0.2">
      <c r="A52" t="s">
        <v>743</v>
      </c>
      <c r="B52" t="s">
        <v>615</v>
      </c>
      <c r="C52">
        <v>43.1</v>
      </c>
      <c r="D52">
        <v>45.2</v>
      </c>
      <c r="E52">
        <v>53.1</v>
      </c>
      <c r="F52">
        <v>63.7</v>
      </c>
      <c r="G52">
        <v>73</v>
      </c>
      <c r="H52">
        <v>81.5</v>
      </c>
      <c r="I52">
        <v>86</v>
      </c>
      <c r="J52">
        <v>83.7</v>
      </c>
      <c r="K52">
        <v>77.400000000000006</v>
      </c>
      <c r="L52">
        <v>67.099999999999994</v>
      </c>
      <c r="M52">
        <v>56.2</v>
      </c>
      <c r="N52">
        <v>47.2</v>
      </c>
    </row>
    <row r="53" spans="1:14" x14ac:dyDescent="0.2">
      <c r="A53" t="s">
        <v>571</v>
      </c>
      <c r="B53" t="s">
        <v>615</v>
      </c>
      <c r="C53">
        <v>43.7</v>
      </c>
      <c r="D53">
        <v>46.8</v>
      </c>
      <c r="E53">
        <v>55.2</v>
      </c>
      <c r="F53">
        <v>66.8</v>
      </c>
      <c r="G53">
        <v>75.900000000000006</v>
      </c>
      <c r="H53">
        <v>85.4</v>
      </c>
      <c r="I53">
        <v>90.1</v>
      </c>
      <c r="J53">
        <v>87.3</v>
      </c>
      <c r="K53">
        <v>80.400000000000006</v>
      </c>
      <c r="L53">
        <v>68.8</v>
      </c>
      <c r="M53">
        <v>57.6</v>
      </c>
      <c r="N53">
        <v>48</v>
      </c>
    </row>
    <row r="54" spans="1:14" x14ac:dyDescent="0.2">
      <c r="A54" t="s">
        <v>741</v>
      </c>
      <c r="B54" t="s">
        <v>693</v>
      </c>
      <c r="C54">
        <v>28.8</v>
      </c>
      <c r="D54">
        <v>31.9</v>
      </c>
      <c r="E54">
        <v>40.6</v>
      </c>
      <c r="F54">
        <v>53.5</v>
      </c>
      <c r="G54">
        <v>65.8</v>
      </c>
      <c r="H54">
        <v>74.400000000000006</v>
      </c>
      <c r="I54">
        <v>79.900000000000006</v>
      </c>
      <c r="J54">
        <v>78.900000000000006</v>
      </c>
      <c r="K54">
        <v>70.900000000000006</v>
      </c>
      <c r="L54">
        <v>57.9</v>
      </c>
      <c r="M54">
        <v>45.7</v>
      </c>
      <c r="N54">
        <v>34.700000000000003</v>
      </c>
    </row>
    <row r="55" spans="1:14" x14ac:dyDescent="0.2">
      <c r="A55" t="s">
        <v>692</v>
      </c>
      <c r="B55" t="s">
        <v>693</v>
      </c>
      <c r="C55">
        <v>32.4</v>
      </c>
      <c r="D55">
        <v>35</v>
      </c>
      <c r="E55">
        <v>42.3</v>
      </c>
      <c r="F55">
        <v>53.8</v>
      </c>
      <c r="G55">
        <v>64.2</v>
      </c>
      <c r="H55">
        <v>73.599999999999994</v>
      </c>
      <c r="I55">
        <v>79.5</v>
      </c>
      <c r="J55">
        <v>78.7</v>
      </c>
      <c r="K55">
        <v>71.099999999999994</v>
      </c>
      <c r="L55">
        <v>59.5</v>
      </c>
      <c r="M55">
        <v>48.4</v>
      </c>
      <c r="N55">
        <v>38.299999999999997</v>
      </c>
    </row>
    <row r="56" spans="1:14" x14ac:dyDescent="0.2">
      <c r="A56" t="s">
        <v>563</v>
      </c>
      <c r="B56" t="s">
        <v>610</v>
      </c>
      <c r="C56">
        <v>32.299999999999997</v>
      </c>
      <c r="D56">
        <v>35.200000000000003</v>
      </c>
      <c r="E56">
        <v>45.9</v>
      </c>
      <c r="F56">
        <v>58.7</v>
      </c>
      <c r="G56">
        <v>70.3</v>
      </c>
      <c r="H56">
        <v>79.7</v>
      </c>
      <c r="I56">
        <v>83.7</v>
      </c>
      <c r="J56">
        <v>81.400000000000006</v>
      </c>
      <c r="K56">
        <v>74.400000000000006</v>
      </c>
      <c r="L56">
        <v>62</v>
      </c>
      <c r="M56">
        <v>48.6</v>
      </c>
      <c r="N56">
        <v>37.200000000000003</v>
      </c>
    </row>
    <row r="57" spans="1:14" x14ac:dyDescent="0.2">
      <c r="A57" t="s">
        <v>630</v>
      </c>
      <c r="B57" t="s">
        <v>610</v>
      </c>
      <c r="C57">
        <v>31</v>
      </c>
      <c r="D57">
        <v>33.700000000000003</v>
      </c>
      <c r="E57">
        <v>44.5</v>
      </c>
      <c r="F57">
        <v>57.8</v>
      </c>
      <c r="G57">
        <v>69.8</v>
      </c>
      <c r="H57">
        <v>79.400000000000006</v>
      </c>
      <c r="I57">
        <v>83.1</v>
      </c>
      <c r="J57">
        <v>80.900000000000006</v>
      </c>
      <c r="K57">
        <v>73.900000000000006</v>
      </c>
      <c r="L57">
        <v>60.7</v>
      </c>
      <c r="M57">
        <v>47.2</v>
      </c>
      <c r="N57">
        <v>36.1</v>
      </c>
    </row>
    <row r="58" spans="1:14" x14ac:dyDescent="0.2">
      <c r="A58" t="s">
        <v>745</v>
      </c>
      <c r="B58" t="s">
        <v>610</v>
      </c>
      <c r="C58">
        <v>30.6</v>
      </c>
      <c r="D58">
        <v>33.5</v>
      </c>
      <c r="E58">
        <v>44.4</v>
      </c>
      <c r="F58">
        <v>57.6</v>
      </c>
      <c r="G58">
        <v>69.400000000000006</v>
      </c>
      <c r="H58">
        <v>78.900000000000006</v>
      </c>
      <c r="I58">
        <v>82.8</v>
      </c>
      <c r="J58">
        <v>80.599999999999994</v>
      </c>
      <c r="K58">
        <v>73.599999999999994</v>
      </c>
      <c r="L58">
        <v>60.5</v>
      </c>
      <c r="M58">
        <v>47</v>
      </c>
      <c r="N58">
        <v>35.700000000000003</v>
      </c>
    </row>
    <row r="59" spans="1:14" x14ac:dyDescent="0.2">
      <c r="A59" t="s">
        <v>565</v>
      </c>
      <c r="B59" t="s">
        <v>612</v>
      </c>
      <c r="C59">
        <v>23.6</v>
      </c>
      <c r="D59">
        <v>28.5</v>
      </c>
      <c r="E59">
        <v>41.7</v>
      </c>
      <c r="F59">
        <v>56.6</v>
      </c>
      <c r="G59">
        <v>69.2</v>
      </c>
      <c r="H59">
        <v>79</v>
      </c>
      <c r="I59">
        <v>83.4</v>
      </c>
      <c r="J59">
        <v>80.7</v>
      </c>
      <c r="K59">
        <v>72.900000000000006</v>
      </c>
      <c r="L59">
        <v>58.1</v>
      </c>
      <c r="M59">
        <v>41.9</v>
      </c>
      <c r="N59">
        <v>28.8</v>
      </c>
    </row>
    <row r="60" spans="1:14" x14ac:dyDescent="0.2">
      <c r="A60" t="s">
        <v>727</v>
      </c>
      <c r="B60" t="s">
        <v>616</v>
      </c>
      <c r="C60">
        <v>39.6</v>
      </c>
      <c r="D60">
        <v>45.1</v>
      </c>
      <c r="E60">
        <v>55.5</v>
      </c>
      <c r="F60">
        <v>66.599999999999994</v>
      </c>
      <c r="G60">
        <v>75.2</v>
      </c>
      <c r="H60">
        <v>83.9</v>
      </c>
      <c r="I60">
        <v>88</v>
      </c>
      <c r="J60">
        <v>87.2</v>
      </c>
      <c r="K60">
        <v>79.900000000000006</v>
      </c>
      <c r="L60">
        <v>68.5</v>
      </c>
      <c r="M60">
        <v>55.1</v>
      </c>
      <c r="N60">
        <v>44</v>
      </c>
    </row>
    <row r="61" spans="1:14" x14ac:dyDescent="0.2">
      <c r="A61" t="s">
        <v>580</v>
      </c>
      <c r="B61" t="s">
        <v>616</v>
      </c>
      <c r="C61">
        <v>39.9</v>
      </c>
      <c r="D61">
        <v>45.1</v>
      </c>
      <c r="E61">
        <v>56.6</v>
      </c>
      <c r="F61">
        <v>66.8</v>
      </c>
      <c r="G61">
        <v>76.2</v>
      </c>
      <c r="H61">
        <v>85.8</v>
      </c>
      <c r="I61">
        <v>90.2</v>
      </c>
      <c r="J61">
        <v>88.6</v>
      </c>
      <c r="K61">
        <v>80.400000000000006</v>
      </c>
      <c r="L61">
        <v>68.2</v>
      </c>
      <c r="M61">
        <v>54.5</v>
      </c>
      <c r="N61">
        <v>43.9</v>
      </c>
    </row>
    <row r="62" spans="1:14" x14ac:dyDescent="0.2">
      <c r="A62" t="s">
        <v>572</v>
      </c>
      <c r="B62" t="s">
        <v>616</v>
      </c>
      <c r="C62">
        <v>40.4</v>
      </c>
      <c r="D62">
        <v>45.8</v>
      </c>
      <c r="E62">
        <v>56.6</v>
      </c>
      <c r="F62">
        <v>68</v>
      </c>
      <c r="G62">
        <v>77.099999999999994</v>
      </c>
      <c r="H62">
        <v>85.9</v>
      </c>
      <c r="I62">
        <v>89.6</v>
      </c>
      <c r="J62">
        <v>88.3</v>
      </c>
      <c r="K62">
        <v>81.099999999999994</v>
      </c>
      <c r="L62">
        <v>69.2</v>
      </c>
      <c r="M62">
        <v>55.5</v>
      </c>
      <c r="N62">
        <v>44.5</v>
      </c>
    </row>
    <row r="63" spans="1:14" x14ac:dyDescent="0.2">
      <c r="A63" t="s">
        <v>683</v>
      </c>
      <c r="B63" t="s">
        <v>684</v>
      </c>
      <c r="C63">
        <v>57.4</v>
      </c>
      <c r="D63">
        <v>62</v>
      </c>
      <c r="E63">
        <v>69.400000000000006</v>
      </c>
      <c r="F63">
        <v>76.5</v>
      </c>
      <c r="G63">
        <v>83.8</v>
      </c>
      <c r="H63">
        <v>89.9</v>
      </c>
      <c r="I63">
        <v>92.1</v>
      </c>
      <c r="J63">
        <v>92.2</v>
      </c>
      <c r="K63">
        <v>87.8</v>
      </c>
      <c r="L63">
        <v>78.3</v>
      </c>
      <c r="M63">
        <v>67.2</v>
      </c>
      <c r="N63">
        <v>59.6</v>
      </c>
    </row>
    <row r="64" spans="1:14" x14ac:dyDescent="0.2">
      <c r="A64" t="s">
        <v>725</v>
      </c>
      <c r="B64" t="s">
        <v>724</v>
      </c>
      <c r="C64">
        <v>36</v>
      </c>
      <c r="D64">
        <v>39.200000000000003</v>
      </c>
      <c r="E64">
        <v>49</v>
      </c>
      <c r="F64">
        <v>56.9</v>
      </c>
      <c r="G64">
        <v>66.900000000000006</v>
      </c>
      <c r="H64">
        <v>77</v>
      </c>
      <c r="I64">
        <v>87.3</v>
      </c>
      <c r="J64">
        <v>85.8</v>
      </c>
      <c r="K64">
        <v>74.3</v>
      </c>
      <c r="L64">
        <v>58.8</v>
      </c>
      <c r="M64">
        <v>45.7</v>
      </c>
      <c r="N64">
        <v>36.1</v>
      </c>
    </row>
    <row r="65" spans="1:14" x14ac:dyDescent="0.2">
      <c r="A65" t="s">
        <v>862</v>
      </c>
      <c r="B65" t="s">
        <v>724</v>
      </c>
      <c r="C65">
        <v>34.200000000000003</v>
      </c>
      <c r="D65">
        <v>36.799999999999997</v>
      </c>
      <c r="E65">
        <v>46.1</v>
      </c>
      <c r="F65">
        <v>54.5</v>
      </c>
      <c r="G65">
        <v>63.2</v>
      </c>
      <c r="H65">
        <v>71.7</v>
      </c>
      <c r="I65">
        <v>82.1</v>
      </c>
      <c r="J65">
        <v>81.3</v>
      </c>
      <c r="K65">
        <v>71.400000000000006</v>
      </c>
      <c r="L65">
        <v>57.3</v>
      </c>
      <c r="M65">
        <v>42.3</v>
      </c>
      <c r="N65">
        <v>33.299999999999997</v>
      </c>
    </row>
    <row r="66" spans="1:14" x14ac:dyDescent="0.2">
      <c r="A66" t="s">
        <v>730</v>
      </c>
      <c r="B66" t="s">
        <v>724</v>
      </c>
      <c r="C66">
        <v>32.4</v>
      </c>
      <c r="D66">
        <v>37.200000000000003</v>
      </c>
      <c r="E66">
        <v>47.5</v>
      </c>
      <c r="F66">
        <v>56.7</v>
      </c>
      <c r="G66">
        <v>66.400000000000006</v>
      </c>
      <c r="H66">
        <v>74.7</v>
      </c>
      <c r="I66">
        <v>86.1</v>
      </c>
      <c r="J66">
        <v>84.6</v>
      </c>
      <c r="K66">
        <v>73.3</v>
      </c>
      <c r="L66">
        <v>57.6</v>
      </c>
      <c r="M66">
        <v>42.8</v>
      </c>
      <c r="N66">
        <v>32.6</v>
      </c>
    </row>
    <row r="67" spans="1:14" x14ac:dyDescent="0.2">
      <c r="A67" t="s">
        <v>861</v>
      </c>
      <c r="B67" t="s">
        <v>614</v>
      </c>
      <c r="C67" s="5">
        <v>48.9</v>
      </c>
      <c r="D67" s="5">
        <v>52.9</v>
      </c>
      <c r="E67" s="5">
        <v>59.8</v>
      </c>
      <c r="F67" s="5">
        <v>69.400000000000006</v>
      </c>
      <c r="G67" s="5">
        <v>76.3</v>
      </c>
      <c r="H67" s="5">
        <v>82.5</v>
      </c>
      <c r="I67" s="5">
        <v>85.3</v>
      </c>
      <c r="J67" s="5">
        <v>84</v>
      </c>
      <c r="K67" s="5">
        <v>78.7</v>
      </c>
      <c r="L67" s="5">
        <v>69.599999999999994</v>
      </c>
      <c r="M67" s="5">
        <v>59.5</v>
      </c>
      <c r="N67" s="5">
        <v>51.5</v>
      </c>
    </row>
    <row r="68" spans="1:14" x14ac:dyDescent="0.2">
      <c r="A68" t="s">
        <v>570</v>
      </c>
      <c r="B68" t="s">
        <v>614</v>
      </c>
      <c r="C68">
        <v>52.3</v>
      </c>
      <c r="D68">
        <v>56.6</v>
      </c>
      <c r="E68">
        <v>64.2</v>
      </c>
      <c r="F68">
        <v>73.2</v>
      </c>
      <c r="G68">
        <v>80.099999999999994</v>
      </c>
      <c r="H68">
        <v>86.9</v>
      </c>
      <c r="I68">
        <v>90.3</v>
      </c>
      <c r="J68">
        <v>88.6</v>
      </c>
      <c r="K68">
        <v>82.8</v>
      </c>
      <c r="L68">
        <v>73.3</v>
      </c>
      <c r="M68">
        <v>62.9</v>
      </c>
      <c r="N68">
        <v>54.9</v>
      </c>
    </row>
    <row r="69" spans="1:14" x14ac:dyDescent="0.2">
      <c r="A69" t="s">
        <v>596</v>
      </c>
      <c r="B69" t="s">
        <v>614</v>
      </c>
      <c r="C69">
        <v>51.9</v>
      </c>
      <c r="D69">
        <v>55.8</v>
      </c>
      <c r="E69">
        <v>63.3</v>
      </c>
      <c r="F69">
        <v>72.7</v>
      </c>
      <c r="G69">
        <v>80</v>
      </c>
      <c r="H69">
        <v>87.4</v>
      </c>
      <c r="I69">
        <v>90.8</v>
      </c>
      <c r="J69">
        <v>88.7</v>
      </c>
      <c r="K69">
        <v>82.5</v>
      </c>
      <c r="L69">
        <v>73</v>
      </c>
      <c r="M69">
        <v>63</v>
      </c>
      <c r="N69">
        <v>54.7</v>
      </c>
    </row>
    <row r="70" spans="1:14" x14ac:dyDescent="0.2">
      <c r="A70" t="s">
        <v>728</v>
      </c>
      <c r="B70" t="s">
        <v>715</v>
      </c>
      <c r="C70">
        <v>23.2</v>
      </c>
      <c r="D70">
        <v>27.8</v>
      </c>
      <c r="E70">
        <v>41</v>
      </c>
      <c r="F70">
        <v>56</v>
      </c>
      <c r="G70">
        <v>68.3</v>
      </c>
      <c r="H70">
        <v>77.900000000000006</v>
      </c>
      <c r="I70">
        <v>84.7</v>
      </c>
      <c r="J70">
        <v>83.5</v>
      </c>
      <c r="K70">
        <v>73.400000000000006</v>
      </c>
      <c r="L70">
        <v>57.1</v>
      </c>
      <c r="M70">
        <v>40.6</v>
      </c>
      <c r="N70">
        <v>27.7</v>
      </c>
    </row>
    <row r="71" spans="1:14" x14ac:dyDescent="0.2">
      <c r="A71" t="s">
        <v>716</v>
      </c>
      <c r="B71" t="s">
        <v>715</v>
      </c>
      <c r="C71">
        <v>18.2</v>
      </c>
      <c r="D71">
        <v>22.7</v>
      </c>
      <c r="E71">
        <v>36.299999999999997</v>
      </c>
      <c r="F71">
        <v>54.1</v>
      </c>
      <c r="G71">
        <v>68.7</v>
      </c>
      <c r="H71">
        <v>78.099999999999994</v>
      </c>
      <c r="I71">
        <v>82.1</v>
      </c>
      <c r="J71">
        <v>80.7</v>
      </c>
      <c r="K71">
        <v>72</v>
      </c>
      <c r="L71">
        <v>55.8</v>
      </c>
      <c r="M71">
        <v>38.1</v>
      </c>
      <c r="N71">
        <v>24</v>
      </c>
    </row>
    <row r="72" spans="1:14" x14ac:dyDescent="0.2">
      <c r="A72" t="s">
        <v>707</v>
      </c>
      <c r="B72" t="s">
        <v>638</v>
      </c>
      <c r="C72">
        <v>35.6</v>
      </c>
      <c r="D72">
        <v>40.6</v>
      </c>
      <c r="E72">
        <v>53.6</v>
      </c>
      <c r="F72">
        <v>64.8</v>
      </c>
      <c r="G72">
        <v>75</v>
      </c>
      <c r="H72">
        <v>85.2</v>
      </c>
      <c r="I72">
        <v>89.4</v>
      </c>
      <c r="J72">
        <v>87.2</v>
      </c>
      <c r="K72">
        <v>80.099999999999994</v>
      </c>
      <c r="L72">
        <v>66.599999999999994</v>
      </c>
      <c r="M72">
        <v>51.7</v>
      </c>
      <c r="N72">
        <v>39.4</v>
      </c>
    </row>
    <row r="73" spans="1:14" x14ac:dyDescent="0.2">
      <c r="A73" t="s">
        <v>637</v>
      </c>
      <c r="B73" t="s">
        <v>638</v>
      </c>
      <c r="C73">
        <v>33.6</v>
      </c>
      <c r="D73">
        <v>38.6</v>
      </c>
      <c r="E73">
        <v>52.1</v>
      </c>
      <c r="F73">
        <v>64.099999999999994</v>
      </c>
      <c r="G73">
        <v>74.599999999999994</v>
      </c>
      <c r="H73">
        <v>84.4</v>
      </c>
      <c r="I73">
        <v>88.1</v>
      </c>
      <c r="J73">
        <v>85.8</v>
      </c>
      <c r="K73">
        <v>79.099999999999994</v>
      </c>
      <c r="L73">
        <v>65.5</v>
      </c>
      <c r="M73">
        <v>50.3</v>
      </c>
      <c r="N73">
        <v>37.700000000000003</v>
      </c>
    </row>
    <row r="74" spans="1:14" x14ac:dyDescent="0.2">
      <c r="A74" t="s">
        <v>746</v>
      </c>
      <c r="B74" t="s">
        <v>699</v>
      </c>
      <c r="C74">
        <v>31.6</v>
      </c>
      <c r="D74">
        <v>34.799999999999997</v>
      </c>
      <c r="E74">
        <v>43.6</v>
      </c>
      <c r="F74">
        <v>57.5</v>
      </c>
      <c r="G74">
        <v>69.3</v>
      </c>
      <c r="H74">
        <v>77.8</v>
      </c>
      <c r="I74">
        <v>83</v>
      </c>
      <c r="J74">
        <v>81.7</v>
      </c>
      <c r="K74">
        <v>73.7</v>
      </c>
      <c r="L74">
        <v>60.9</v>
      </c>
      <c r="M74">
        <v>48.4</v>
      </c>
      <c r="N74">
        <v>37.1</v>
      </c>
    </row>
    <row r="75" spans="1:14" x14ac:dyDescent="0.2">
      <c r="A75" t="s">
        <v>700</v>
      </c>
      <c r="B75" t="s">
        <v>699</v>
      </c>
      <c r="C75">
        <v>34.1</v>
      </c>
      <c r="D75">
        <v>37.4</v>
      </c>
      <c r="E75">
        <v>45.6</v>
      </c>
      <c r="F75">
        <v>58.9</v>
      </c>
      <c r="G75">
        <v>70.099999999999994</v>
      </c>
      <c r="H75">
        <v>78.7</v>
      </c>
      <c r="I75">
        <v>84.1</v>
      </c>
      <c r="J75">
        <v>82.4</v>
      </c>
      <c r="K75">
        <v>74.599999999999994</v>
      </c>
      <c r="L75">
        <v>62.1</v>
      </c>
      <c r="M75">
        <v>50</v>
      </c>
      <c r="N75">
        <v>39.299999999999997</v>
      </c>
    </row>
    <row r="76" spans="1:14" x14ac:dyDescent="0.2">
      <c r="A76" t="s">
        <v>704</v>
      </c>
      <c r="B76" t="s">
        <v>703</v>
      </c>
      <c r="C76">
        <v>39.700000000000003</v>
      </c>
      <c r="D76">
        <v>42.8</v>
      </c>
      <c r="E76">
        <v>50.8</v>
      </c>
      <c r="F76">
        <v>62.9</v>
      </c>
      <c r="G76">
        <v>72.400000000000006</v>
      </c>
      <c r="H76">
        <v>81</v>
      </c>
      <c r="I76">
        <v>86</v>
      </c>
      <c r="J76">
        <v>84</v>
      </c>
      <c r="K76">
        <v>77.099999999999994</v>
      </c>
      <c r="L76">
        <v>65.5</v>
      </c>
      <c r="M76">
        <v>54.5</v>
      </c>
      <c r="N76">
        <v>44.4</v>
      </c>
    </row>
    <row r="77" spans="1:14" x14ac:dyDescent="0.2">
      <c r="A77" t="s">
        <v>648</v>
      </c>
      <c r="B77" t="s">
        <v>649</v>
      </c>
      <c r="C77">
        <v>48.4</v>
      </c>
      <c r="D77">
        <v>54.1</v>
      </c>
      <c r="E77">
        <v>62.8</v>
      </c>
      <c r="F77">
        <v>70.3</v>
      </c>
      <c r="G77">
        <v>79.900000000000006</v>
      </c>
      <c r="H77">
        <v>90.4</v>
      </c>
      <c r="I77">
        <v>91.2</v>
      </c>
      <c r="J77">
        <v>88.8</v>
      </c>
      <c r="K77">
        <v>82.5</v>
      </c>
      <c r="L77">
        <v>70.599999999999994</v>
      </c>
      <c r="M77">
        <v>57.3</v>
      </c>
      <c r="N77">
        <v>47.3</v>
      </c>
    </row>
    <row r="78" spans="1:14" x14ac:dyDescent="0.2">
      <c r="A78" t="s">
        <v>726</v>
      </c>
      <c r="B78" t="s">
        <v>649</v>
      </c>
      <c r="C78">
        <v>43</v>
      </c>
      <c r="D78">
        <v>48</v>
      </c>
      <c r="E78">
        <v>56.6</v>
      </c>
      <c r="F78">
        <v>64.3</v>
      </c>
      <c r="G78">
        <v>73.7</v>
      </c>
      <c r="H78">
        <v>84.1</v>
      </c>
      <c r="I78">
        <v>85.8</v>
      </c>
      <c r="J78">
        <v>83.4</v>
      </c>
      <c r="K78">
        <v>77.5</v>
      </c>
      <c r="L78">
        <v>66.3</v>
      </c>
      <c r="M78">
        <v>53</v>
      </c>
      <c r="N78">
        <v>42.6</v>
      </c>
    </row>
    <row r="79" spans="1:14" x14ac:dyDescent="0.2">
      <c r="A79" t="s">
        <v>970</v>
      </c>
      <c r="B79" t="s">
        <v>649</v>
      </c>
      <c r="C79">
        <v>42.1</v>
      </c>
      <c r="D79">
        <v>46.4</v>
      </c>
      <c r="E79">
        <v>55.2</v>
      </c>
      <c r="F79">
        <v>63</v>
      </c>
      <c r="G79">
        <v>72.900000000000006</v>
      </c>
      <c r="H79">
        <v>83.7</v>
      </c>
      <c r="I79">
        <v>86.5</v>
      </c>
      <c r="J79">
        <v>84.2</v>
      </c>
      <c r="K79">
        <v>78.099999999999994</v>
      </c>
      <c r="L79">
        <v>67</v>
      </c>
      <c r="M79">
        <v>53.1</v>
      </c>
      <c r="N79">
        <v>42.4</v>
      </c>
    </row>
    <row r="80" spans="1:14" x14ac:dyDescent="0.2">
      <c r="A80" t="s">
        <v>729</v>
      </c>
      <c r="B80" t="s">
        <v>618</v>
      </c>
      <c r="C80">
        <v>45.5</v>
      </c>
      <c r="D80">
        <v>49.5</v>
      </c>
      <c r="E80">
        <v>56.2</v>
      </c>
      <c r="F80">
        <v>61.7</v>
      </c>
      <c r="G80">
        <v>70.400000000000006</v>
      </c>
      <c r="H80">
        <v>80.900000000000006</v>
      </c>
      <c r="I80">
        <v>89.5</v>
      </c>
      <c r="J80">
        <v>87.8</v>
      </c>
      <c r="K80">
        <v>80.7</v>
      </c>
      <c r="L80">
        <v>68</v>
      </c>
      <c r="M80">
        <v>54.5</v>
      </c>
      <c r="N80">
        <v>44.6</v>
      </c>
    </row>
    <row r="81" spans="1:14" x14ac:dyDescent="0.2">
      <c r="A81" t="s">
        <v>578</v>
      </c>
      <c r="B81" t="s">
        <v>618</v>
      </c>
      <c r="C81">
        <v>58.5</v>
      </c>
      <c r="D81">
        <v>62.9</v>
      </c>
      <c r="E81">
        <v>71.099999999999994</v>
      </c>
      <c r="F81">
        <v>78.5</v>
      </c>
      <c r="G81">
        <v>88.5</v>
      </c>
      <c r="H81">
        <v>99.4</v>
      </c>
      <c r="I81">
        <v>104.5</v>
      </c>
      <c r="J81">
        <v>102.8</v>
      </c>
      <c r="K81">
        <v>94.9</v>
      </c>
      <c r="L81">
        <v>81.2</v>
      </c>
      <c r="M81">
        <v>67.099999999999994</v>
      </c>
      <c r="N81">
        <v>56.9</v>
      </c>
    </row>
    <row r="82" spans="1:14" x14ac:dyDescent="0.2">
      <c r="A82" t="s">
        <v>652</v>
      </c>
      <c r="B82" t="s">
        <v>588</v>
      </c>
      <c r="C82">
        <v>32.799999999999997</v>
      </c>
      <c r="D82">
        <v>36</v>
      </c>
      <c r="E82">
        <v>45.3</v>
      </c>
      <c r="F82">
        <v>59.2</v>
      </c>
      <c r="G82">
        <v>71.2</v>
      </c>
      <c r="H82">
        <v>79.400000000000006</v>
      </c>
      <c r="I82">
        <v>83.9</v>
      </c>
      <c r="J82">
        <v>82</v>
      </c>
      <c r="K82">
        <v>74.400000000000006</v>
      </c>
      <c r="L82">
        <v>61.6</v>
      </c>
      <c r="M82">
        <v>49.3</v>
      </c>
      <c r="N82">
        <v>38.200000000000003</v>
      </c>
    </row>
    <row r="83" spans="1:14" x14ac:dyDescent="0.2">
      <c r="A83" t="s">
        <v>633</v>
      </c>
      <c r="B83" t="s">
        <v>588</v>
      </c>
      <c r="C83">
        <v>32.1</v>
      </c>
      <c r="D83">
        <v>33.299999999999997</v>
      </c>
      <c r="E83">
        <v>41.8</v>
      </c>
      <c r="F83">
        <v>54.7</v>
      </c>
      <c r="G83">
        <v>67.400000000000006</v>
      </c>
      <c r="H83">
        <v>75.599999999999994</v>
      </c>
      <c r="I83">
        <v>80.2</v>
      </c>
      <c r="J83">
        <v>79</v>
      </c>
      <c r="K83">
        <v>72.3</v>
      </c>
      <c r="L83">
        <v>59.6</v>
      </c>
      <c r="M83">
        <v>47.8</v>
      </c>
      <c r="N83">
        <v>37.200000000000003</v>
      </c>
    </row>
    <row r="84" spans="1:14" x14ac:dyDescent="0.2">
      <c r="A84" t="s">
        <v>550</v>
      </c>
      <c r="B84" t="s">
        <v>588</v>
      </c>
      <c r="C84">
        <v>39.5</v>
      </c>
      <c r="D84">
        <v>42.2</v>
      </c>
      <c r="E84">
        <v>49.9</v>
      </c>
      <c r="F84">
        <v>61.8</v>
      </c>
      <c r="G84">
        <v>71.400000000000006</v>
      </c>
      <c r="H84">
        <v>79.7</v>
      </c>
      <c r="I84">
        <v>84.9</v>
      </c>
      <c r="J84">
        <v>83.3</v>
      </c>
      <c r="K84">
        <v>76.2</v>
      </c>
      <c r="L84">
        <v>64.5</v>
      </c>
      <c r="M84">
        <v>54</v>
      </c>
      <c r="N84">
        <v>44.3</v>
      </c>
    </row>
    <row r="85" spans="1:14" x14ac:dyDescent="0.2">
      <c r="A85" t="s">
        <v>636</v>
      </c>
      <c r="B85" t="s">
        <v>588</v>
      </c>
      <c r="C85">
        <v>33.4</v>
      </c>
      <c r="D85">
        <v>35.200000000000003</v>
      </c>
      <c r="E85">
        <v>43.6</v>
      </c>
      <c r="F85">
        <v>55.5</v>
      </c>
      <c r="G85">
        <v>69.400000000000006</v>
      </c>
      <c r="H85">
        <v>77.900000000000006</v>
      </c>
      <c r="I85">
        <v>82.5</v>
      </c>
      <c r="J85">
        <v>80.5</v>
      </c>
      <c r="K85">
        <v>73.599999999999994</v>
      </c>
      <c r="L85">
        <v>61.2</v>
      </c>
      <c r="M85">
        <v>49.1</v>
      </c>
      <c r="N85">
        <v>38.5</v>
      </c>
    </row>
    <row r="86" spans="1:14" x14ac:dyDescent="0.2">
      <c r="A86" t="s">
        <v>579</v>
      </c>
      <c r="B86" t="s">
        <v>619</v>
      </c>
      <c r="C86">
        <v>39.6</v>
      </c>
      <c r="D86">
        <v>43.7</v>
      </c>
      <c r="E86">
        <v>53.5</v>
      </c>
      <c r="F86">
        <v>65.5</v>
      </c>
      <c r="G86">
        <v>74.5</v>
      </c>
      <c r="H86">
        <v>82.6</v>
      </c>
      <c r="I86">
        <v>86</v>
      </c>
      <c r="J86">
        <v>85.2</v>
      </c>
      <c r="K86">
        <v>78.900000000000006</v>
      </c>
      <c r="L86">
        <v>66.7</v>
      </c>
      <c r="M86">
        <v>53.8</v>
      </c>
      <c r="N86">
        <v>43.3</v>
      </c>
    </row>
    <row r="87" spans="1:14" x14ac:dyDescent="0.2">
      <c r="A87" t="s">
        <v>583</v>
      </c>
      <c r="B87" t="s">
        <v>619</v>
      </c>
      <c r="C87">
        <v>35.799999999999997</v>
      </c>
      <c r="D87">
        <v>38.5</v>
      </c>
      <c r="E87">
        <v>47.1</v>
      </c>
      <c r="F87">
        <v>60.1</v>
      </c>
      <c r="G87">
        <v>71.099999999999994</v>
      </c>
      <c r="H87">
        <v>79.8</v>
      </c>
      <c r="I87">
        <v>83.7</v>
      </c>
      <c r="J87">
        <v>82</v>
      </c>
      <c r="K87">
        <v>75.599999999999994</v>
      </c>
      <c r="L87">
        <v>63.7</v>
      </c>
      <c r="M87">
        <v>51.3</v>
      </c>
      <c r="N87">
        <v>40.4</v>
      </c>
    </row>
    <row r="88" spans="1:14" x14ac:dyDescent="0.2">
      <c r="A88" t="s">
        <v>581</v>
      </c>
      <c r="B88" t="s">
        <v>619</v>
      </c>
      <c r="C88">
        <v>37.1</v>
      </c>
      <c r="D88">
        <v>40.799999999999997</v>
      </c>
      <c r="E88">
        <v>51.1</v>
      </c>
      <c r="F88">
        <v>64.099999999999994</v>
      </c>
      <c r="G88">
        <v>74.099999999999994</v>
      </c>
      <c r="H88">
        <v>82.2</v>
      </c>
      <c r="I88">
        <v>85.4</v>
      </c>
      <c r="J88">
        <v>84.1</v>
      </c>
      <c r="K88">
        <v>77.8</v>
      </c>
      <c r="L88">
        <v>65.5</v>
      </c>
      <c r="M88">
        <v>52.3</v>
      </c>
      <c r="N88">
        <v>41.5</v>
      </c>
    </row>
    <row r="89" spans="1:14" x14ac:dyDescent="0.2">
      <c r="A89" t="s">
        <v>597</v>
      </c>
      <c r="B89" t="s">
        <v>625</v>
      </c>
      <c r="C89">
        <v>49.3</v>
      </c>
      <c r="D89">
        <v>53.8</v>
      </c>
      <c r="E89">
        <v>62.9</v>
      </c>
      <c r="F89">
        <v>71.099999999999994</v>
      </c>
      <c r="G89">
        <v>78.900000000000006</v>
      </c>
      <c r="H89">
        <v>87.5</v>
      </c>
      <c r="I89">
        <v>93.1</v>
      </c>
      <c r="J89">
        <v>92.2</v>
      </c>
      <c r="K89">
        <v>83.9</v>
      </c>
      <c r="L89">
        <v>72.8</v>
      </c>
      <c r="M89">
        <v>60.7</v>
      </c>
      <c r="N89">
        <v>50.4</v>
      </c>
    </row>
    <row r="90" spans="1:14" x14ac:dyDescent="0.2">
      <c r="A90" t="s">
        <v>635</v>
      </c>
      <c r="B90" t="s">
        <v>625</v>
      </c>
      <c r="C90">
        <v>48.9</v>
      </c>
      <c r="D90">
        <v>54</v>
      </c>
      <c r="E90">
        <v>63.3</v>
      </c>
      <c r="F90">
        <v>72.099999999999994</v>
      </c>
      <c r="G90">
        <v>79.7</v>
      </c>
      <c r="H90">
        <v>88.4</v>
      </c>
      <c r="I90">
        <v>93.6</v>
      </c>
      <c r="J90">
        <v>93</v>
      </c>
      <c r="K90">
        <v>84.8</v>
      </c>
      <c r="L90">
        <v>73.599999999999994</v>
      </c>
      <c r="M90">
        <v>61.4</v>
      </c>
      <c r="N90">
        <v>50.9</v>
      </c>
    </row>
    <row r="91" spans="1:14" x14ac:dyDescent="0.2">
      <c r="A91" t="s">
        <v>860</v>
      </c>
      <c r="B91" t="s">
        <v>617</v>
      </c>
      <c r="C91" s="5">
        <v>47.6</v>
      </c>
      <c r="D91" s="5">
        <v>53.9</v>
      </c>
      <c r="E91" s="5">
        <v>59.6</v>
      </c>
      <c r="F91" s="5">
        <v>65.400000000000006</v>
      </c>
      <c r="G91" s="5">
        <v>74.099999999999994</v>
      </c>
      <c r="H91" s="5">
        <v>81.2</v>
      </c>
      <c r="I91" s="5">
        <v>90.5</v>
      </c>
      <c r="J91" s="5">
        <v>90.6</v>
      </c>
      <c r="K91" s="5">
        <v>83.8</v>
      </c>
      <c r="L91" s="5">
        <v>69.8</v>
      </c>
      <c r="M91" s="5">
        <v>53.8</v>
      </c>
      <c r="N91" s="5">
        <v>45.7</v>
      </c>
    </row>
    <row r="92" spans="1:14" x14ac:dyDescent="0.2">
      <c r="A92" t="s">
        <v>575</v>
      </c>
      <c r="B92" t="s">
        <v>617</v>
      </c>
      <c r="C92">
        <v>47.5</v>
      </c>
      <c r="D92">
        <v>51.5</v>
      </c>
      <c r="E92">
        <v>56.8</v>
      </c>
      <c r="F92">
        <v>62</v>
      </c>
      <c r="G92">
        <v>69.3</v>
      </c>
      <c r="H92">
        <v>74.3</v>
      </c>
      <c r="I92">
        <v>81.900000000000006</v>
      </c>
      <c r="J92">
        <v>82.3</v>
      </c>
      <c r="K92">
        <v>76.7</v>
      </c>
      <c r="L92">
        <v>64.400000000000006</v>
      </c>
      <c r="M92">
        <v>53.5</v>
      </c>
      <c r="N92">
        <v>46.9</v>
      </c>
    </row>
    <row r="93" spans="1:14" x14ac:dyDescent="0.2">
      <c r="A93" t="s">
        <v>710</v>
      </c>
      <c r="B93" t="s">
        <v>617</v>
      </c>
      <c r="C93">
        <v>48.4</v>
      </c>
      <c r="D93">
        <v>52.1</v>
      </c>
      <c r="E93">
        <v>56.8</v>
      </c>
      <c r="F93">
        <v>61.6</v>
      </c>
      <c r="G93">
        <v>69</v>
      </c>
      <c r="H93">
        <v>74.599999999999994</v>
      </c>
      <c r="I93">
        <v>83.5</v>
      </c>
      <c r="J93">
        <v>83.6</v>
      </c>
      <c r="K93">
        <v>77.5</v>
      </c>
      <c r="L93">
        <v>64.8</v>
      </c>
      <c r="M93">
        <v>53.6</v>
      </c>
      <c r="N93">
        <v>47.4</v>
      </c>
    </row>
    <row r="94" spans="1:14" x14ac:dyDescent="0.2">
      <c r="A94" t="s">
        <v>682</v>
      </c>
      <c r="B94" t="s">
        <v>604</v>
      </c>
      <c r="C94">
        <v>38.6</v>
      </c>
      <c r="D94">
        <v>42</v>
      </c>
      <c r="E94">
        <v>51.3</v>
      </c>
      <c r="F94">
        <v>63.8</v>
      </c>
      <c r="G94">
        <v>73.7</v>
      </c>
      <c r="H94">
        <v>82.4</v>
      </c>
      <c r="I94">
        <v>86.8</v>
      </c>
      <c r="J94">
        <v>84.7</v>
      </c>
      <c r="K94">
        <v>77.599999999999994</v>
      </c>
      <c r="L94">
        <v>65.7</v>
      </c>
      <c r="M94">
        <v>53.9</v>
      </c>
      <c r="N94">
        <v>43.3</v>
      </c>
    </row>
    <row r="95" spans="1:14" x14ac:dyDescent="0.2">
      <c r="A95" t="s">
        <v>558</v>
      </c>
      <c r="B95" t="s">
        <v>604</v>
      </c>
      <c r="C95">
        <v>41.3</v>
      </c>
      <c r="D95">
        <v>44.3</v>
      </c>
      <c r="E95">
        <v>52.8</v>
      </c>
      <c r="F95">
        <v>64.7</v>
      </c>
      <c r="G95">
        <v>74.400000000000006</v>
      </c>
      <c r="H95">
        <v>83.2</v>
      </c>
      <c r="I95">
        <v>87.8</v>
      </c>
      <c r="J95">
        <v>85.8</v>
      </c>
      <c r="K95">
        <v>78.900000000000006</v>
      </c>
      <c r="L95">
        <v>67.2</v>
      </c>
      <c r="M95">
        <v>55.9</v>
      </c>
      <c r="N95">
        <v>46</v>
      </c>
    </row>
    <row r="96" spans="1:14" x14ac:dyDescent="0.2">
      <c r="A96" t="s">
        <v>577</v>
      </c>
      <c r="B96" t="s">
        <v>604</v>
      </c>
      <c r="C96">
        <v>36.299999999999997</v>
      </c>
      <c r="D96">
        <v>39.6</v>
      </c>
      <c r="E96">
        <v>49.1</v>
      </c>
      <c r="F96">
        <v>62.4</v>
      </c>
      <c r="G96">
        <v>71.900000000000006</v>
      </c>
      <c r="H96">
        <v>79.400000000000006</v>
      </c>
      <c r="I96">
        <v>82.9</v>
      </c>
      <c r="J96">
        <v>81.7</v>
      </c>
      <c r="K96">
        <v>75.099999999999994</v>
      </c>
      <c r="L96">
        <v>63.1</v>
      </c>
      <c r="M96">
        <v>50.9</v>
      </c>
      <c r="N96">
        <v>40.6</v>
      </c>
    </row>
    <row r="97" spans="1:14" x14ac:dyDescent="0.2">
      <c r="A97" t="s">
        <v>733</v>
      </c>
      <c r="B97" t="s">
        <v>734</v>
      </c>
      <c r="C97">
        <v>83.2</v>
      </c>
      <c r="D97">
        <v>83.8</v>
      </c>
      <c r="E97">
        <v>84.7</v>
      </c>
      <c r="F97">
        <v>86.2</v>
      </c>
      <c r="G97">
        <v>87.4</v>
      </c>
      <c r="H97">
        <v>89</v>
      </c>
      <c r="I97">
        <v>88.7</v>
      </c>
      <c r="J97">
        <v>89.1</v>
      </c>
      <c r="K97">
        <v>89.2</v>
      </c>
      <c r="L97">
        <v>88.6</v>
      </c>
      <c r="M97">
        <v>86.1</v>
      </c>
      <c r="N97">
        <v>84.2</v>
      </c>
    </row>
    <row r="98" spans="1:14" x14ac:dyDescent="0.2">
      <c r="A98" t="s">
        <v>594</v>
      </c>
      <c r="B98" t="s">
        <v>623</v>
      </c>
      <c r="C98">
        <v>38.299999999999997</v>
      </c>
      <c r="D98">
        <v>40.5</v>
      </c>
      <c r="E98">
        <v>47.7</v>
      </c>
      <c r="F98">
        <v>58.9</v>
      </c>
      <c r="G98">
        <v>68.900000000000006</v>
      </c>
      <c r="H98">
        <v>77.7</v>
      </c>
      <c r="I98">
        <v>83.6</v>
      </c>
      <c r="J98">
        <v>82.2</v>
      </c>
      <c r="K98">
        <v>74.8</v>
      </c>
      <c r="L98">
        <v>63.8</v>
      </c>
      <c r="M98">
        <v>53.2</v>
      </c>
      <c r="N98">
        <v>43.4</v>
      </c>
    </row>
    <row r="99" spans="1:14" x14ac:dyDescent="0.2">
      <c r="A99" t="s">
        <v>658</v>
      </c>
      <c r="B99" t="s">
        <v>642</v>
      </c>
      <c r="C99">
        <v>60.2</v>
      </c>
      <c r="D99">
        <v>63.8</v>
      </c>
      <c r="E99">
        <v>70.099999999999994</v>
      </c>
      <c r="F99">
        <v>77.099999999999994</v>
      </c>
      <c r="G99">
        <v>83.6</v>
      </c>
      <c r="H99">
        <v>88.5</v>
      </c>
      <c r="I99">
        <v>91.3</v>
      </c>
      <c r="J99">
        <v>89.8</v>
      </c>
      <c r="K99">
        <v>85.4</v>
      </c>
      <c r="L99">
        <v>77.900000000000006</v>
      </c>
      <c r="M99">
        <v>69.400000000000006</v>
      </c>
      <c r="N99">
        <v>62.7</v>
      </c>
    </row>
    <row r="100" spans="1:14" x14ac:dyDescent="0.2">
      <c r="A100" t="s">
        <v>657</v>
      </c>
      <c r="B100" t="s">
        <v>642</v>
      </c>
      <c r="C100">
        <v>56.8</v>
      </c>
      <c r="D100">
        <v>60.8</v>
      </c>
      <c r="E100">
        <v>68.3</v>
      </c>
      <c r="F100">
        <v>76.7</v>
      </c>
      <c r="G100">
        <v>83.8</v>
      </c>
      <c r="H100">
        <v>89.7</v>
      </c>
      <c r="I100">
        <v>92.7</v>
      </c>
      <c r="J100">
        <v>90.8</v>
      </c>
      <c r="K100">
        <v>85.7</v>
      </c>
      <c r="L100">
        <v>76.5</v>
      </c>
      <c r="M100">
        <v>66.400000000000006</v>
      </c>
      <c r="N100">
        <v>58.9</v>
      </c>
    </row>
    <row r="101" spans="1:14" x14ac:dyDescent="0.2">
      <c r="A101" t="s">
        <v>641</v>
      </c>
      <c r="B101" t="s">
        <v>642</v>
      </c>
      <c r="C101" s="5">
        <v>52.8</v>
      </c>
      <c r="D101" s="5">
        <v>57</v>
      </c>
      <c r="E101" s="5">
        <v>64.400000000000006</v>
      </c>
      <c r="F101" s="5">
        <v>73.2</v>
      </c>
      <c r="G101" s="5">
        <v>80.3</v>
      </c>
      <c r="H101" s="5">
        <v>87.2</v>
      </c>
      <c r="I101" s="5">
        <v>90.3</v>
      </c>
      <c r="J101" s="5">
        <v>88.5</v>
      </c>
      <c r="K101" s="5">
        <v>82.7</v>
      </c>
      <c r="L101" s="5">
        <v>73.099999999999994</v>
      </c>
      <c r="M101" s="5">
        <v>62.9</v>
      </c>
      <c r="N101" s="5">
        <v>54.9</v>
      </c>
    </row>
    <row r="102" spans="1:14" x14ac:dyDescent="0.2">
      <c r="A102" t="s">
        <v>748</v>
      </c>
      <c r="B102" t="s">
        <v>712</v>
      </c>
      <c r="C102">
        <v>29</v>
      </c>
      <c r="D102">
        <v>33.700000000000003</v>
      </c>
      <c r="E102">
        <v>45.7</v>
      </c>
      <c r="F102">
        <v>58.5</v>
      </c>
      <c r="G102">
        <v>69.5</v>
      </c>
      <c r="H102">
        <v>80</v>
      </c>
      <c r="I102">
        <v>88.3</v>
      </c>
      <c r="J102">
        <v>86.6</v>
      </c>
      <c r="K102">
        <v>77.5</v>
      </c>
      <c r="L102">
        <v>60.7</v>
      </c>
      <c r="M102">
        <v>44.9</v>
      </c>
      <c r="N102">
        <v>32.4</v>
      </c>
    </row>
    <row r="103" spans="1:14" x14ac:dyDescent="0.2">
      <c r="A103" t="s">
        <v>858</v>
      </c>
      <c r="B103" t="s">
        <v>712</v>
      </c>
      <c r="C103">
        <v>36.5</v>
      </c>
      <c r="D103">
        <v>38.299999999999997</v>
      </c>
      <c r="E103">
        <v>47.4</v>
      </c>
      <c r="F103">
        <v>55</v>
      </c>
      <c r="G103">
        <v>65.3</v>
      </c>
      <c r="H103">
        <v>76.2</v>
      </c>
      <c r="I103">
        <v>84.4</v>
      </c>
      <c r="J103">
        <v>83.4</v>
      </c>
      <c r="K103">
        <v>76.099999999999994</v>
      </c>
      <c r="L103">
        <v>58.8</v>
      </c>
      <c r="M103">
        <v>47</v>
      </c>
      <c r="N103">
        <v>37.6</v>
      </c>
    </row>
    <row r="104" spans="1:14" x14ac:dyDescent="0.2">
      <c r="A104" t="s">
        <v>713</v>
      </c>
      <c r="B104" t="s">
        <v>712</v>
      </c>
      <c r="C104">
        <v>27.2</v>
      </c>
      <c r="D104">
        <v>32</v>
      </c>
      <c r="E104">
        <v>45</v>
      </c>
      <c r="F104">
        <v>59</v>
      </c>
      <c r="G104">
        <v>70.8</v>
      </c>
      <c r="H104">
        <v>80.900000000000006</v>
      </c>
      <c r="I104">
        <v>85.3</v>
      </c>
      <c r="J104">
        <v>82.8</v>
      </c>
      <c r="K104">
        <v>75.599999999999994</v>
      </c>
      <c r="L104">
        <v>61.1</v>
      </c>
      <c r="M104">
        <v>45</v>
      </c>
      <c r="N104">
        <v>31.6</v>
      </c>
    </row>
    <row r="105" spans="1:14" x14ac:dyDescent="0.2">
      <c r="A105" t="s">
        <v>646</v>
      </c>
      <c r="B105" t="s">
        <v>621</v>
      </c>
      <c r="C105">
        <v>48.2</v>
      </c>
      <c r="D105">
        <v>52.8</v>
      </c>
      <c r="E105">
        <v>61.4</v>
      </c>
      <c r="F105">
        <v>71.2</v>
      </c>
      <c r="G105">
        <v>78.900000000000006</v>
      </c>
      <c r="H105">
        <v>85.7</v>
      </c>
      <c r="I105">
        <v>88.4</v>
      </c>
      <c r="J105">
        <v>87.8</v>
      </c>
      <c r="K105">
        <v>82.5</v>
      </c>
      <c r="L105">
        <v>71.7</v>
      </c>
      <c r="M105">
        <v>60</v>
      </c>
      <c r="N105">
        <v>51</v>
      </c>
    </row>
    <row r="106" spans="1:14" x14ac:dyDescent="0.2">
      <c r="A106" t="s">
        <v>600</v>
      </c>
      <c r="B106" t="s">
        <v>621</v>
      </c>
      <c r="C106">
        <v>50.9</v>
      </c>
      <c r="D106">
        <v>55.5</v>
      </c>
      <c r="E106">
        <v>64.2</v>
      </c>
      <c r="F106">
        <v>73.400000000000006</v>
      </c>
      <c r="G106">
        <v>81.7</v>
      </c>
      <c r="H106">
        <v>89.4</v>
      </c>
      <c r="I106">
        <v>91.9</v>
      </c>
      <c r="J106">
        <v>91.5</v>
      </c>
      <c r="K106">
        <v>86</v>
      </c>
      <c r="L106">
        <v>75.099999999999994</v>
      </c>
      <c r="M106">
        <v>62.6</v>
      </c>
      <c r="N106">
        <v>53.4</v>
      </c>
    </row>
    <row r="107" spans="1:14" x14ac:dyDescent="0.2">
      <c r="A107" t="s">
        <v>584</v>
      </c>
      <c r="B107" t="s">
        <v>621</v>
      </c>
      <c r="C107">
        <v>49.1</v>
      </c>
      <c r="D107">
        <v>53.8</v>
      </c>
      <c r="E107">
        <v>62.7</v>
      </c>
      <c r="F107">
        <v>72.599999999999994</v>
      </c>
      <c r="G107">
        <v>80.400000000000006</v>
      </c>
      <c r="H107">
        <v>87.7</v>
      </c>
      <c r="I107">
        <v>90.9</v>
      </c>
      <c r="J107">
        <v>90.4</v>
      </c>
      <c r="K107">
        <v>84.4</v>
      </c>
      <c r="L107">
        <v>73.5</v>
      </c>
      <c r="M107">
        <v>61.4</v>
      </c>
      <c r="N107">
        <v>52.2</v>
      </c>
    </row>
    <row r="108" spans="1:14" x14ac:dyDescent="0.2">
      <c r="A108" t="s">
        <v>574</v>
      </c>
      <c r="B108" t="s">
        <v>607</v>
      </c>
      <c r="C108">
        <v>62.5</v>
      </c>
      <c r="D108">
        <v>66.5</v>
      </c>
      <c r="E108">
        <v>73.3</v>
      </c>
      <c r="F108">
        <v>80.3</v>
      </c>
      <c r="G108">
        <v>86.9</v>
      </c>
      <c r="H108">
        <v>93.2</v>
      </c>
      <c r="I108">
        <v>96.6</v>
      </c>
      <c r="J108">
        <v>97.8</v>
      </c>
      <c r="K108">
        <v>91.4</v>
      </c>
      <c r="L108">
        <v>82.5</v>
      </c>
      <c r="M108">
        <v>71.5</v>
      </c>
      <c r="N108">
        <v>63.9</v>
      </c>
    </row>
    <row r="109" spans="1:14" x14ac:dyDescent="0.2">
      <c r="A109" t="s">
        <v>553</v>
      </c>
      <c r="B109" t="s">
        <v>607</v>
      </c>
      <c r="C109">
        <v>57.7</v>
      </c>
      <c r="D109">
        <v>62</v>
      </c>
      <c r="E109">
        <v>69.900000000000006</v>
      </c>
      <c r="F109">
        <v>77.400000000000006</v>
      </c>
      <c r="G109">
        <v>84.9</v>
      </c>
      <c r="H109">
        <v>92.7</v>
      </c>
      <c r="I109">
        <v>96.9</v>
      </c>
      <c r="J109">
        <v>97.1</v>
      </c>
      <c r="K109">
        <v>90</v>
      </c>
      <c r="L109">
        <v>79.5</v>
      </c>
      <c r="M109">
        <v>67.8</v>
      </c>
      <c r="N109">
        <v>59.2</v>
      </c>
    </row>
    <row r="110" spans="1:14" x14ac:dyDescent="0.2">
      <c r="A110" t="s">
        <v>656</v>
      </c>
      <c r="B110" t="s">
        <v>607</v>
      </c>
      <c r="C110" s="5">
        <v>58.6</v>
      </c>
      <c r="D110" s="5">
        <v>64.099999999999994</v>
      </c>
      <c r="E110" s="5">
        <v>71.900000000000006</v>
      </c>
      <c r="F110" s="5">
        <v>80</v>
      </c>
      <c r="G110" s="5">
        <v>88.7</v>
      </c>
      <c r="H110" s="5">
        <v>97.1</v>
      </c>
      <c r="I110" s="5">
        <v>95.8</v>
      </c>
      <c r="J110" s="5">
        <v>94</v>
      </c>
      <c r="K110" s="5">
        <v>88.3</v>
      </c>
      <c r="L110" s="5">
        <v>79.400000000000006</v>
      </c>
      <c r="M110" s="5">
        <v>67</v>
      </c>
      <c r="N110" s="5">
        <v>57.8</v>
      </c>
    </row>
    <row r="111" spans="1:14" x14ac:dyDescent="0.2">
      <c r="A111" t="s">
        <v>554</v>
      </c>
      <c r="B111" t="s">
        <v>607</v>
      </c>
      <c r="C111">
        <v>63.8</v>
      </c>
      <c r="D111">
        <v>67.8</v>
      </c>
      <c r="E111">
        <v>74</v>
      </c>
      <c r="F111">
        <v>80.099999999999994</v>
      </c>
      <c r="G111">
        <v>86.9</v>
      </c>
      <c r="H111">
        <v>92.3</v>
      </c>
      <c r="I111">
        <v>94.5</v>
      </c>
      <c r="J111">
        <v>94.9</v>
      </c>
      <c r="K111">
        <v>90.4</v>
      </c>
      <c r="L111">
        <v>82.8</v>
      </c>
      <c r="M111">
        <v>72.599999999999994</v>
      </c>
      <c r="N111">
        <v>65.3</v>
      </c>
    </row>
    <row r="112" spans="1:14" x14ac:dyDescent="0.2">
      <c r="A112" t="s">
        <v>573</v>
      </c>
      <c r="B112" t="s">
        <v>607</v>
      </c>
      <c r="C112">
        <v>63.3</v>
      </c>
      <c r="D112">
        <v>67.5</v>
      </c>
      <c r="E112">
        <v>73.8</v>
      </c>
      <c r="F112">
        <v>80.3</v>
      </c>
      <c r="G112">
        <v>86.6</v>
      </c>
      <c r="H112">
        <v>92.4</v>
      </c>
      <c r="I112">
        <v>94.9</v>
      </c>
      <c r="J112">
        <v>96</v>
      </c>
      <c r="K112">
        <v>90.1</v>
      </c>
      <c r="L112">
        <v>82.2</v>
      </c>
      <c r="M112">
        <v>71.7</v>
      </c>
      <c r="N112">
        <v>64.7</v>
      </c>
    </row>
    <row r="113" spans="1:14" x14ac:dyDescent="0.2">
      <c r="A113" t="s">
        <v>668</v>
      </c>
      <c r="B113" t="s">
        <v>627</v>
      </c>
      <c r="C113">
        <v>41</v>
      </c>
      <c r="D113">
        <v>47.5</v>
      </c>
      <c r="E113">
        <v>58.3</v>
      </c>
      <c r="F113">
        <v>65.5</v>
      </c>
      <c r="G113">
        <v>75.5</v>
      </c>
      <c r="H113">
        <v>87</v>
      </c>
      <c r="I113">
        <v>95</v>
      </c>
      <c r="J113">
        <v>92.7</v>
      </c>
      <c r="K113">
        <v>82.9</v>
      </c>
      <c r="L113">
        <v>68.400000000000006</v>
      </c>
      <c r="M113">
        <v>53</v>
      </c>
      <c r="N113">
        <v>41.2</v>
      </c>
    </row>
    <row r="114" spans="1:14" x14ac:dyDescent="0.2">
      <c r="A114" t="s">
        <v>601</v>
      </c>
      <c r="B114" t="s">
        <v>627</v>
      </c>
      <c r="C114">
        <v>38.6</v>
      </c>
      <c r="D114">
        <v>44.7</v>
      </c>
      <c r="E114">
        <v>55.3</v>
      </c>
      <c r="F114">
        <v>61.9</v>
      </c>
      <c r="G114">
        <v>72.599999999999994</v>
      </c>
      <c r="H114">
        <v>84.1</v>
      </c>
      <c r="I114">
        <v>94</v>
      </c>
      <c r="J114">
        <v>91.7</v>
      </c>
      <c r="K114">
        <v>80.599999999999994</v>
      </c>
      <c r="L114">
        <v>65.5</v>
      </c>
      <c r="M114">
        <v>50.7</v>
      </c>
      <c r="N114">
        <v>39</v>
      </c>
    </row>
    <row r="115" spans="1:14" x14ac:dyDescent="0.2">
      <c r="A115" t="s">
        <v>857</v>
      </c>
      <c r="B115" t="s">
        <v>622</v>
      </c>
      <c r="C115">
        <v>44.7</v>
      </c>
      <c r="D115">
        <v>48.7</v>
      </c>
      <c r="E115">
        <v>56.5</v>
      </c>
      <c r="F115">
        <v>68.3</v>
      </c>
      <c r="G115">
        <v>75.400000000000006</v>
      </c>
      <c r="H115">
        <v>83.1</v>
      </c>
      <c r="I115">
        <v>87.4</v>
      </c>
      <c r="J115">
        <v>85.6</v>
      </c>
      <c r="K115">
        <v>79.2</v>
      </c>
      <c r="L115">
        <v>68.5</v>
      </c>
      <c r="M115">
        <v>57.7</v>
      </c>
      <c r="N115">
        <v>48.1</v>
      </c>
    </row>
    <row r="116" spans="1:14" x14ac:dyDescent="0.2">
      <c r="A116" t="s">
        <v>599</v>
      </c>
      <c r="B116" t="s">
        <v>622</v>
      </c>
      <c r="C116">
        <v>47.8</v>
      </c>
      <c r="D116">
        <v>51.6</v>
      </c>
      <c r="E116">
        <v>59.6</v>
      </c>
      <c r="F116">
        <v>70.400000000000006</v>
      </c>
      <c r="G116">
        <v>77.8</v>
      </c>
      <c r="H116">
        <v>85.6</v>
      </c>
      <c r="I116">
        <v>89.5</v>
      </c>
      <c r="J116">
        <v>87.5</v>
      </c>
      <c r="K116">
        <v>81.2</v>
      </c>
      <c r="L116">
        <v>70.900000000000006</v>
      </c>
      <c r="M116">
        <v>60.4</v>
      </c>
      <c r="N116">
        <v>51.5</v>
      </c>
    </row>
    <row r="117" spans="1:14" x14ac:dyDescent="0.2">
      <c r="A117" t="s">
        <v>592</v>
      </c>
      <c r="B117" t="s">
        <v>622</v>
      </c>
      <c r="C117">
        <v>50.7</v>
      </c>
      <c r="D117">
        <v>53.4</v>
      </c>
      <c r="E117">
        <v>60.1</v>
      </c>
      <c r="F117">
        <v>70</v>
      </c>
      <c r="G117">
        <v>77.400000000000006</v>
      </c>
      <c r="H117">
        <v>85.2</v>
      </c>
      <c r="I117">
        <v>89.4</v>
      </c>
      <c r="J117">
        <v>86.9</v>
      </c>
      <c r="K117">
        <v>81.400000000000006</v>
      </c>
      <c r="L117">
        <v>72.3</v>
      </c>
      <c r="M117">
        <v>62.1</v>
      </c>
      <c r="N117">
        <v>54.7</v>
      </c>
    </row>
    <row r="118" spans="1:14" x14ac:dyDescent="0.2">
      <c r="A118" t="s">
        <v>719</v>
      </c>
      <c r="B118" t="s">
        <v>718</v>
      </c>
      <c r="C118">
        <v>28.9</v>
      </c>
      <c r="D118">
        <v>31.5</v>
      </c>
      <c r="E118">
        <v>40.9</v>
      </c>
      <c r="F118">
        <v>55.3</v>
      </c>
      <c r="G118">
        <v>69</v>
      </c>
      <c r="H118">
        <v>77.599999999999994</v>
      </c>
      <c r="I118">
        <v>82.4</v>
      </c>
      <c r="J118">
        <v>80.7</v>
      </c>
      <c r="K118">
        <v>72.599999999999994</v>
      </c>
      <c r="L118">
        <v>58.9</v>
      </c>
      <c r="M118">
        <v>46.4</v>
      </c>
      <c r="N118">
        <v>35</v>
      </c>
    </row>
    <row r="119" spans="1:14" x14ac:dyDescent="0.2">
      <c r="A119" t="s">
        <v>751</v>
      </c>
      <c r="B119" t="s">
        <v>718</v>
      </c>
      <c r="C119">
        <v>25.8</v>
      </c>
      <c r="D119">
        <v>28.9</v>
      </c>
      <c r="E119">
        <v>37.6</v>
      </c>
      <c r="F119">
        <v>51.5</v>
      </c>
      <c r="G119">
        <v>65</v>
      </c>
      <c r="H119">
        <v>73.2</v>
      </c>
      <c r="I119">
        <v>77.599999999999994</v>
      </c>
      <c r="J119">
        <v>76.099999999999994</v>
      </c>
      <c r="K119">
        <v>68.599999999999994</v>
      </c>
      <c r="L119">
        <v>55.3</v>
      </c>
      <c r="M119">
        <v>42.8</v>
      </c>
      <c r="N119">
        <v>31.3</v>
      </c>
    </row>
    <row r="120" spans="1:14" x14ac:dyDescent="0.2">
      <c r="A120" t="s">
        <v>856</v>
      </c>
      <c r="B120" t="s">
        <v>611</v>
      </c>
      <c r="C120" s="5">
        <v>46.6</v>
      </c>
      <c r="D120" s="5">
        <v>49.4</v>
      </c>
      <c r="E120" s="5">
        <v>53.7</v>
      </c>
      <c r="F120" s="5">
        <v>59</v>
      </c>
      <c r="G120" s="5">
        <v>65.8</v>
      </c>
      <c r="H120" s="5">
        <v>70.2</v>
      </c>
      <c r="I120" s="5">
        <v>76.5</v>
      </c>
      <c r="J120" s="5">
        <v>77.3</v>
      </c>
      <c r="K120" s="5">
        <v>71.900000000000006</v>
      </c>
      <c r="L120" s="5">
        <v>60.6</v>
      </c>
      <c r="M120" s="5">
        <v>51.2</v>
      </c>
      <c r="N120" s="5">
        <v>45.6</v>
      </c>
    </row>
    <row r="121" spans="1:14" x14ac:dyDescent="0.2">
      <c r="A121" t="s">
        <v>714</v>
      </c>
      <c r="B121" t="s">
        <v>611</v>
      </c>
      <c r="C121">
        <v>46</v>
      </c>
      <c r="D121">
        <v>49.1</v>
      </c>
      <c r="E121">
        <v>53.7</v>
      </c>
      <c r="F121">
        <v>58.9</v>
      </c>
      <c r="G121">
        <v>66.099999999999994</v>
      </c>
      <c r="H121">
        <v>70.8</v>
      </c>
      <c r="I121">
        <v>77.599999999999994</v>
      </c>
      <c r="J121">
        <v>78</v>
      </c>
      <c r="K121">
        <v>72.099999999999994</v>
      </c>
      <c r="L121">
        <v>60.2</v>
      </c>
      <c r="M121">
        <v>50.6</v>
      </c>
      <c r="N121">
        <v>44.9</v>
      </c>
    </row>
    <row r="122" spans="1:14" x14ac:dyDescent="0.2">
      <c r="A122" t="s">
        <v>967</v>
      </c>
      <c r="B122" t="s">
        <v>611</v>
      </c>
      <c r="C122">
        <v>45.3</v>
      </c>
      <c r="D122">
        <v>46.6</v>
      </c>
      <c r="E122">
        <v>49.8</v>
      </c>
      <c r="F122">
        <v>54.2</v>
      </c>
      <c r="G122">
        <v>59.5</v>
      </c>
      <c r="H122">
        <v>63.4</v>
      </c>
      <c r="I122">
        <v>68.2</v>
      </c>
      <c r="J122">
        <v>69.7</v>
      </c>
      <c r="K122">
        <v>66.099999999999994</v>
      </c>
      <c r="L122">
        <v>56.7</v>
      </c>
      <c r="M122">
        <v>49.4</v>
      </c>
      <c r="N122">
        <v>44.8</v>
      </c>
    </row>
    <row r="123" spans="1:14" x14ac:dyDescent="0.2">
      <c r="A123" t="s">
        <v>564</v>
      </c>
      <c r="B123" t="s">
        <v>611</v>
      </c>
      <c r="C123">
        <v>48</v>
      </c>
      <c r="D123">
        <v>50.3</v>
      </c>
      <c r="E123">
        <v>54.2</v>
      </c>
      <c r="F123">
        <v>59.3</v>
      </c>
      <c r="G123">
        <v>66.3</v>
      </c>
      <c r="H123">
        <v>71.099999999999994</v>
      </c>
      <c r="I123">
        <v>77.400000000000006</v>
      </c>
      <c r="J123">
        <v>77.599999999999994</v>
      </c>
      <c r="K123">
        <v>71.599999999999994</v>
      </c>
      <c r="L123">
        <v>60.5</v>
      </c>
      <c r="M123">
        <v>52.1</v>
      </c>
      <c r="N123">
        <v>47</v>
      </c>
    </row>
    <row r="124" spans="1:14" x14ac:dyDescent="0.2">
      <c r="A124" t="s">
        <v>673</v>
      </c>
      <c r="B124" t="s">
        <v>624</v>
      </c>
      <c r="C124">
        <v>27</v>
      </c>
      <c r="D124">
        <v>31.2</v>
      </c>
      <c r="E124">
        <v>43.6</v>
      </c>
      <c r="F124">
        <v>56.9</v>
      </c>
      <c r="G124">
        <v>69</v>
      </c>
      <c r="H124">
        <v>78.599999999999994</v>
      </c>
      <c r="I124">
        <v>82.1</v>
      </c>
      <c r="J124">
        <v>79.900000000000006</v>
      </c>
      <c r="K124">
        <v>72.900000000000006</v>
      </c>
      <c r="L124">
        <v>59.6</v>
      </c>
      <c r="M124">
        <v>44.8</v>
      </c>
      <c r="N124">
        <v>32.299999999999997</v>
      </c>
    </row>
    <row r="125" spans="1:14" x14ac:dyDescent="0.2">
      <c r="A125" t="s">
        <v>595</v>
      </c>
      <c r="B125" t="s">
        <v>624</v>
      </c>
      <c r="C125">
        <v>30.9</v>
      </c>
      <c r="D125">
        <v>34.200000000000003</v>
      </c>
      <c r="E125">
        <v>44.2</v>
      </c>
      <c r="F125">
        <v>54.7</v>
      </c>
      <c r="G125">
        <v>66.5</v>
      </c>
      <c r="H125">
        <v>76.8</v>
      </c>
      <c r="I125">
        <v>81.900000000000006</v>
      </c>
      <c r="J125">
        <v>80.3</v>
      </c>
      <c r="K125">
        <v>73.5</v>
      </c>
      <c r="L125">
        <v>61.3</v>
      </c>
      <c r="M125">
        <v>47.8</v>
      </c>
      <c r="N125">
        <v>36.1</v>
      </c>
    </row>
    <row r="126" spans="1:14" x14ac:dyDescent="0.2">
      <c r="A126" t="s">
        <v>721</v>
      </c>
      <c r="B126" t="s">
        <v>705</v>
      </c>
      <c r="C126">
        <v>43.9</v>
      </c>
      <c r="D126">
        <v>47.8</v>
      </c>
      <c r="E126">
        <v>56.8</v>
      </c>
      <c r="F126">
        <v>69.400000000000006</v>
      </c>
      <c r="G126">
        <v>76.2</v>
      </c>
      <c r="H126">
        <v>83.1</v>
      </c>
      <c r="I126">
        <v>86</v>
      </c>
      <c r="J126">
        <v>85.2</v>
      </c>
      <c r="K126">
        <v>79.5</v>
      </c>
      <c r="L126">
        <v>68.7</v>
      </c>
      <c r="M126">
        <v>57.3</v>
      </c>
      <c r="N126">
        <v>47.5</v>
      </c>
    </row>
    <row r="127" spans="1:14" x14ac:dyDescent="0.2">
      <c r="A127" t="s">
        <v>706</v>
      </c>
      <c r="B127" t="s">
        <v>705</v>
      </c>
      <c r="C127" s="5">
        <v>43.2</v>
      </c>
      <c r="D127" s="5">
        <v>47.3</v>
      </c>
      <c r="E127" s="5">
        <v>56.8</v>
      </c>
      <c r="F127" s="5">
        <v>68.8</v>
      </c>
      <c r="G127" s="5">
        <v>76.2</v>
      </c>
      <c r="H127" s="5">
        <v>83.3</v>
      </c>
      <c r="I127" s="5">
        <v>86.4</v>
      </c>
      <c r="J127" s="5">
        <v>85.5</v>
      </c>
      <c r="K127" s="5">
        <v>79.599999999999994</v>
      </c>
      <c r="L127" s="5">
        <v>68.599999999999994</v>
      </c>
      <c r="M127" s="5">
        <v>56.6</v>
      </c>
      <c r="N127" s="5">
        <v>46.7</v>
      </c>
    </row>
    <row r="128" spans="1:14" x14ac:dyDescent="0.2">
      <c r="A128" t="s">
        <v>896</v>
      </c>
      <c r="B128" t="s">
        <v>705</v>
      </c>
      <c r="C128">
        <v>40.1</v>
      </c>
      <c r="D128">
        <v>43.7</v>
      </c>
      <c r="E128">
        <v>52.6</v>
      </c>
      <c r="F128">
        <v>65.2</v>
      </c>
      <c r="G128">
        <v>73.599999999999994</v>
      </c>
      <c r="H128">
        <v>80.900000000000006</v>
      </c>
      <c r="I128">
        <v>84.4</v>
      </c>
      <c r="J128">
        <v>83.1</v>
      </c>
      <c r="K128">
        <v>77.099999999999994</v>
      </c>
      <c r="L128">
        <v>65.900000000000006</v>
      </c>
      <c r="M128">
        <v>54.1</v>
      </c>
      <c r="N128">
        <v>44.3</v>
      </c>
    </row>
    <row r="129" spans="1:14" x14ac:dyDescent="0.2">
      <c r="A129" t="s">
        <v>868</v>
      </c>
      <c r="B129" t="s">
        <v>731</v>
      </c>
      <c r="C129">
        <v>35.200000000000003</v>
      </c>
      <c r="D129">
        <v>37.799999999999997</v>
      </c>
      <c r="E129">
        <v>48.8</v>
      </c>
      <c r="F129">
        <v>56.3</v>
      </c>
      <c r="G129">
        <v>66.8</v>
      </c>
      <c r="H129">
        <v>79.599999999999994</v>
      </c>
      <c r="I129">
        <v>89</v>
      </c>
      <c r="J129">
        <v>86.7</v>
      </c>
      <c r="K129">
        <v>75.599999999999994</v>
      </c>
      <c r="L129">
        <v>59.7</v>
      </c>
      <c r="M129">
        <v>45.9</v>
      </c>
      <c r="N129">
        <v>34.700000000000003</v>
      </c>
    </row>
    <row r="130" spans="1:14" x14ac:dyDescent="0.2">
      <c r="A130" t="s">
        <v>732</v>
      </c>
      <c r="B130" t="s">
        <v>731</v>
      </c>
      <c r="C130">
        <v>40</v>
      </c>
      <c r="D130">
        <v>40.6</v>
      </c>
      <c r="E130">
        <v>49.1</v>
      </c>
      <c r="F130">
        <v>54.8</v>
      </c>
      <c r="G130">
        <v>64.400000000000006</v>
      </c>
      <c r="H130">
        <v>76.7</v>
      </c>
      <c r="I130">
        <v>84.1</v>
      </c>
      <c r="J130">
        <v>82</v>
      </c>
      <c r="K130">
        <v>73.3</v>
      </c>
      <c r="L130">
        <v>59.1</v>
      </c>
      <c r="M130">
        <v>47.5</v>
      </c>
      <c r="N130">
        <v>39.299999999999997</v>
      </c>
    </row>
    <row r="133" spans="1:14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</sheetData>
  <sortState xmlns:xlrd2="http://schemas.microsoft.com/office/spreadsheetml/2017/richdata2" ref="A2:N130">
    <sortCondition ref="B2:B130"/>
    <sortCondition ref="A2:A1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151F-D3C6-B64A-9E9D-4142E5C7E622}">
  <dimension ref="A1:N130"/>
  <sheetViews>
    <sheetView workbookViewId="0">
      <pane xSplit="2" ySplit="1" topLeftCell="C112" activePane="bottomRight" state="frozen"/>
      <selection pane="topRight" activeCell="C1" sqref="C1"/>
      <selection pane="bottomLeft" activeCell="A2" sqref="A2"/>
      <selection pane="bottomRight" activeCell="F138" sqref="F138"/>
    </sheetView>
  </sheetViews>
  <sheetFormatPr baseColWidth="10" defaultRowHeight="16" x14ac:dyDescent="0.2"/>
  <cols>
    <col min="1" max="1" width="18" bestFit="1" customWidth="1"/>
    <col min="2" max="2" width="7.6640625" bestFit="1" customWidth="1"/>
    <col min="3" max="14" width="5.1640625" bestFit="1" customWidth="1"/>
  </cols>
  <sheetData>
    <row r="1" spans="1:14" x14ac:dyDescent="0.2">
      <c r="A1" t="s">
        <v>549</v>
      </c>
      <c r="B1" t="s">
        <v>587</v>
      </c>
      <c r="C1" t="s">
        <v>952</v>
      </c>
      <c r="D1" t="s">
        <v>953</v>
      </c>
      <c r="E1" t="s">
        <v>954</v>
      </c>
      <c r="F1" t="s">
        <v>955</v>
      </c>
      <c r="G1" t="s">
        <v>956</v>
      </c>
      <c r="H1" t="s">
        <v>957</v>
      </c>
      <c r="I1" t="s">
        <v>958</v>
      </c>
      <c r="J1" t="s">
        <v>959</v>
      </c>
      <c r="K1" t="s">
        <v>960</v>
      </c>
      <c r="L1" t="s">
        <v>961</v>
      </c>
      <c r="M1" t="s">
        <v>962</v>
      </c>
      <c r="N1" t="s">
        <v>963</v>
      </c>
    </row>
    <row r="2" spans="1:14" x14ac:dyDescent="0.2">
      <c r="A2" t="s">
        <v>702</v>
      </c>
      <c r="B2" t="s">
        <v>701</v>
      </c>
      <c r="C2">
        <v>16.899999999999999</v>
      </c>
      <c r="D2">
        <v>21.3</v>
      </c>
      <c r="E2">
        <v>25.8</v>
      </c>
      <c r="F2">
        <v>37.5</v>
      </c>
      <c r="G2">
        <v>48.1</v>
      </c>
      <c r="H2">
        <v>55.9</v>
      </c>
      <c r="I2">
        <v>59.6</v>
      </c>
      <c r="J2">
        <v>57.5</v>
      </c>
      <c r="K2">
        <v>49.3</v>
      </c>
      <c r="L2">
        <v>36.299999999999997</v>
      </c>
      <c r="M2">
        <v>23.6</v>
      </c>
      <c r="N2">
        <v>19.399999999999999</v>
      </c>
    </row>
    <row r="3" spans="1:14" x14ac:dyDescent="0.2">
      <c r="A3" t="s">
        <v>859</v>
      </c>
      <c r="B3" t="s">
        <v>701</v>
      </c>
      <c r="C3">
        <v>-8.3000000000000007</v>
      </c>
      <c r="D3">
        <v>0.2</v>
      </c>
      <c r="E3">
        <v>10.7</v>
      </c>
      <c r="F3">
        <v>33.700000000000003</v>
      </c>
      <c r="G3">
        <v>50.3</v>
      </c>
      <c r="H3">
        <v>61</v>
      </c>
      <c r="I3">
        <v>62.9</v>
      </c>
      <c r="J3">
        <v>57</v>
      </c>
      <c r="K3">
        <v>45.8</v>
      </c>
      <c r="L3">
        <v>26.2</v>
      </c>
      <c r="M3">
        <v>4.0999999999999996</v>
      </c>
      <c r="N3">
        <v>-4.3</v>
      </c>
    </row>
    <row r="4" spans="1:14" x14ac:dyDescent="0.2">
      <c r="A4" t="s">
        <v>737</v>
      </c>
      <c r="B4" t="s">
        <v>701</v>
      </c>
      <c r="C4">
        <v>28.5</v>
      </c>
      <c r="D4">
        <v>30.1</v>
      </c>
      <c r="E4">
        <v>32.9</v>
      </c>
      <c r="F4">
        <v>40.799999999999997</v>
      </c>
      <c r="G4">
        <v>49</v>
      </c>
      <c r="H4">
        <v>54.6</v>
      </c>
      <c r="I4">
        <v>57</v>
      </c>
      <c r="J4">
        <v>56</v>
      </c>
      <c r="K4">
        <v>50.1</v>
      </c>
      <c r="L4">
        <v>42.2</v>
      </c>
      <c r="M4">
        <v>33.799999999999997</v>
      </c>
      <c r="N4">
        <v>30.3</v>
      </c>
    </row>
    <row r="5" spans="1:14" x14ac:dyDescent="0.2">
      <c r="A5" t="s">
        <v>602</v>
      </c>
      <c r="B5" t="s">
        <v>628</v>
      </c>
      <c r="C5">
        <v>44.7</v>
      </c>
      <c r="D5">
        <v>48.8</v>
      </c>
      <c r="E5">
        <v>56</v>
      </c>
      <c r="F5">
        <v>63.6</v>
      </c>
      <c r="G5">
        <v>71.5</v>
      </c>
      <c r="H5">
        <v>78.3</v>
      </c>
      <c r="I5">
        <v>81.5</v>
      </c>
      <c r="J5">
        <v>80.900000000000006</v>
      </c>
      <c r="K5">
        <v>75.599999999999994</v>
      </c>
      <c r="L5">
        <v>64.900000000000006</v>
      </c>
      <c r="M5">
        <v>54</v>
      </c>
      <c r="N5">
        <v>47.4</v>
      </c>
    </row>
    <row r="6" spans="1:14" x14ac:dyDescent="0.2">
      <c r="A6" t="s">
        <v>708</v>
      </c>
      <c r="B6" t="s">
        <v>628</v>
      </c>
      <c r="C6">
        <v>48.1</v>
      </c>
      <c r="D6">
        <v>52.6</v>
      </c>
      <c r="E6">
        <v>59.2</v>
      </c>
      <c r="F6">
        <v>65.7</v>
      </c>
      <c r="G6">
        <v>73.599999999999994</v>
      </c>
      <c r="H6">
        <v>80.2</v>
      </c>
      <c r="I6">
        <v>82.9</v>
      </c>
      <c r="J6">
        <v>82.5</v>
      </c>
      <c r="K6">
        <v>77.8</v>
      </c>
      <c r="L6">
        <v>67.400000000000006</v>
      </c>
      <c r="M6">
        <v>56.6</v>
      </c>
      <c r="N6">
        <v>50.2</v>
      </c>
    </row>
    <row r="7" spans="1:14" x14ac:dyDescent="0.2">
      <c r="A7" t="s">
        <v>855</v>
      </c>
      <c r="B7" t="s">
        <v>667</v>
      </c>
      <c r="C7">
        <v>40.700000000000003</v>
      </c>
      <c r="D7">
        <v>44.7</v>
      </c>
      <c r="E7">
        <v>52.7</v>
      </c>
      <c r="F7">
        <v>61.4</v>
      </c>
      <c r="G7">
        <v>69.900000000000006</v>
      </c>
      <c r="H7">
        <v>78</v>
      </c>
      <c r="I7">
        <v>81.400000000000006</v>
      </c>
      <c r="J7">
        <v>80.8</v>
      </c>
      <c r="K7">
        <v>74</v>
      </c>
      <c r="L7">
        <v>62.6</v>
      </c>
      <c r="M7">
        <v>51.1</v>
      </c>
      <c r="N7">
        <v>43</v>
      </c>
    </row>
    <row r="8" spans="1:14" x14ac:dyDescent="0.2">
      <c r="A8" t="s">
        <v>866</v>
      </c>
      <c r="B8" t="s">
        <v>605</v>
      </c>
      <c r="C8">
        <v>30.5</v>
      </c>
      <c r="D8">
        <v>32.799999999999997</v>
      </c>
      <c r="E8">
        <v>38</v>
      </c>
      <c r="F8">
        <v>43.7</v>
      </c>
      <c r="G8">
        <v>51.3</v>
      </c>
      <c r="H8">
        <v>60.8</v>
      </c>
      <c r="I8">
        <v>66.7</v>
      </c>
      <c r="J8">
        <v>64.900000000000006</v>
      </c>
      <c r="K8">
        <v>58.3</v>
      </c>
      <c r="L8">
        <v>47.6</v>
      </c>
      <c r="M8">
        <v>37.5</v>
      </c>
      <c r="N8">
        <v>30</v>
      </c>
    </row>
    <row r="9" spans="1:14" x14ac:dyDescent="0.2">
      <c r="A9" t="s">
        <v>559</v>
      </c>
      <c r="B9" t="s">
        <v>605</v>
      </c>
      <c r="C9">
        <v>56.8</v>
      </c>
      <c r="D9">
        <v>59.9</v>
      </c>
      <c r="E9">
        <v>66.3</v>
      </c>
      <c r="F9">
        <v>73.2</v>
      </c>
      <c r="G9">
        <v>82</v>
      </c>
      <c r="H9">
        <v>91.4</v>
      </c>
      <c r="I9">
        <v>95.5</v>
      </c>
      <c r="J9">
        <v>94.4</v>
      </c>
      <c r="K9">
        <v>89.2</v>
      </c>
      <c r="L9">
        <v>77.400000000000006</v>
      </c>
      <c r="M9">
        <v>65.099999999999994</v>
      </c>
      <c r="N9">
        <v>55.8</v>
      </c>
    </row>
    <row r="10" spans="1:14" x14ac:dyDescent="0.2">
      <c r="A10" t="s">
        <v>634</v>
      </c>
      <c r="B10" t="s">
        <v>605</v>
      </c>
      <c r="C10">
        <v>53.6</v>
      </c>
      <c r="D10">
        <v>56.2</v>
      </c>
      <c r="E10">
        <v>61.9</v>
      </c>
      <c r="F10">
        <v>68.099999999999994</v>
      </c>
      <c r="G10">
        <v>76.8</v>
      </c>
      <c r="H10">
        <v>86.1</v>
      </c>
      <c r="I10">
        <v>88.2</v>
      </c>
      <c r="J10">
        <v>86.9</v>
      </c>
      <c r="K10">
        <v>82.8</v>
      </c>
      <c r="L10">
        <v>72.599999999999994</v>
      </c>
      <c r="M10">
        <v>61.5</v>
      </c>
      <c r="N10">
        <v>53</v>
      </c>
    </row>
    <row r="11" spans="1:14" x14ac:dyDescent="0.2">
      <c r="A11" t="s">
        <v>964</v>
      </c>
      <c r="B11" t="s">
        <v>589</v>
      </c>
      <c r="C11">
        <v>47.9</v>
      </c>
      <c r="D11">
        <v>48.4</v>
      </c>
      <c r="E11">
        <v>49.2</v>
      </c>
      <c r="F11">
        <v>50.8</v>
      </c>
      <c r="G11">
        <v>53.7</v>
      </c>
      <c r="H11">
        <v>56</v>
      </c>
      <c r="I11">
        <v>57.7</v>
      </c>
      <c r="J11">
        <v>58.5</v>
      </c>
      <c r="K11">
        <v>57.2</v>
      </c>
      <c r="L11">
        <v>54.3</v>
      </c>
      <c r="M11">
        <v>50.5</v>
      </c>
      <c r="N11">
        <v>47.4</v>
      </c>
    </row>
    <row r="12" spans="1:14" x14ac:dyDescent="0.2">
      <c r="A12" t="s">
        <v>629</v>
      </c>
      <c r="B12" t="s">
        <v>589</v>
      </c>
      <c r="C12">
        <v>48</v>
      </c>
      <c r="D12">
        <v>52.3</v>
      </c>
      <c r="E12">
        <v>57.4</v>
      </c>
      <c r="F12">
        <v>62.3</v>
      </c>
      <c r="G12">
        <v>70.2</v>
      </c>
      <c r="H12">
        <v>77.599999999999994</v>
      </c>
      <c r="I12">
        <v>83.5</v>
      </c>
      <c r="J12">
        <v>82.2</v>
      </c>
      <c r="K12">
        <v>77.099999999999994</v>
      </c>
      <c r="L12">
        <v>66.7</v>
      </c>
      <c r="M12">
        <v>55.1</v>
      </c>
      <c r="N12">
        <v>47.5</v>
      </c>
    </row>
    <row r="13" spans="1:14" x14ac:dyDescent="0.2">
      <c r="A13" t="s">
        <v>551</v>
      </c>
      <c r="B13" t="s">
        <v>589</v>
      </c>
      <c r="C13">
        <v>58.4</v>
      </c>
      <c r="D13">
        <v>59</v>
      </c>
      <c r="E13">
        <v>61.1</v>
      </c>
      <c r="F13">
        <v>63.6</v>
      </c>
      <c r="G13">
        <v>65.900000000000006</v>
      </c>
      <c r="H13">
        <v>69.3</v>
      </c>
      <c r="I13">
        <v>73.3</v>
      </c>
      <c r="J13">
        <v>74.7</v>
      </c>
      <c r="K13">
        <v>73.599999999999994</v>
      </c>
      <c r="L13">
        <v>69.3</v>
      </c>
      <c r="M13">
        <v>63</v>
      </c>
      <c r="N13">
        <v>57.8</v>
      </c>
    </row>
    <row r="14" spans="1:14" x14ac:dyDescent="0.2">
      <c r="A14" t="s">
        <v>561</v>
      </c>
      <c r="B14" t="s">
        <v>589</v>
      </c>
      <c r="C14">
        <v>55.6</v>
      </c>
      <c r="D14">
        <v>56.3</v>
      </c>
      <c r="E14">
        <v>59.5</v>
      </c>
      <c r="F14">
        <v>62.9</v>
      </c>
      <c r="G14">
        <v>67.599999999999994</v>
      </c>
      <c r="H14">
        <v>73</v>
      </c>
      <c r="I14">
        <v>78.599999999999994</v>
      </c>
      <c r="J14">
        <v>79.8</v>
      </c>
      <c r="K14">
        <v>76.599999999999994</v>
      </c>
      <c r="L14">
        <v>68.900000000000006</v>
      </c>
      <c r="M14">
        <v>61</v>
      </c>
      <c r="N14">
        <v>54.8</v>
      </c>
    </row>
    <row r="15" spans="1:14" x14ac:dyDescent="0.2">
      <c r="A15" t="s">
        <v>576</v>
      </c>
      <c r="B15" t="s">
        <v>589</v>
      </c>
      <c r="C15">
        <v>47.6</v>
      </c>
      <c r="D15">
        <v>51.4</v>
      </c>
      <c r="E15">
        <v>55.4</v>
      </c>
      <c r="F15">
        <v>59.5</v>
      </c>
      <c r="G15">
        <v>66.099999999999994</v>
      </c>
      <c r="H15">
        <v>72.2</v>
      </c>
      <c r="I15">
        <v>75.900000000000006</v>
      </c>
      <c r="J15">
        <v>75.3</v>
      </c>
      <c r="K15">
        <v>72.5</v>
      </c>
      <c r="L15">
        <v>64.5</v>
      </c>
      <c r="M15">
        <v>53.9</v>
      </c>
      <c r="N15">
        <v>47.3</v>
      </c>
    </row>
    <row r="16" spans="1:14" x14ac:dyDescent="0.2">
      <c r="A16" t="s">
        <v>567</v>
      </c>
      <c r="B16" t="s">
        <v>589</v>
      </c>
      <c r="C16">
        <v>58.4</v>
      </c>
      <c r="D16">
        <v>59</v>
      </c>
      <c r="E16">
        <v>60.7</v>
      </c>
      <c r="F16">
        <v>62.9</v>
      </c>
      <c r="G16">
        <v>64.8</v>
      </c>
      <c r="H16">
        <v>67.2</v>
      </c>
      <c r="I16">
        <v>70.7</v>
      </c>
      <c r="J16">
        <v>72.400000000000006</v>
      </c>
      <c r="K16">
        <v>71.7</v>
      </c>
      <c r="L16">
        <v>68.099999999999994</v>
      </c>
      <c r="M16">
        <v>62.7</v>
      </c>
      <c r="N16">
        <v>57.9</v>
      </c>
    </row>
    <row r="17" spans="1:14" x14ac:dyDescent="0.2">
      <c r="A17" t="s">
        <v>562</v>
      </c>
      <c r="B17" t="s">
        <v>589</v>
      </c>
      <c r="C17">
        <v>52.2</v>
      </c>
      <c r="D17">
        <v>54.2</v>
      </c>
      <c r="E17">
        <v>55.5</v>
      </c>
      <c r="F17">
        <v>56.4</v>
      </c>
      <c r="G17">
        <v>57.8</v>
      </c>
      <c r="H17">
        <v>59.7</v>
      </c>
      <c r="I17">
        <v>60.3</v>
      </c>
      <c r="J17">
        <v>61.7</v>
      </c>
      <c r="K17">
        <v>62.9</v>
      </c>
      <c r="L17">
        <v>62.1</v>
      </c>
      <c r="M17">
        <v>57.2</v>
      </c>
      <c r="N17">
        <v>52.5</v>
      </c>
    </row>
    <row r="18" spans="1:14" x14ac:dyDescent="0.2">
      <c r="A18" t="s">
        <v>591</v>
      </c>
      <c r="B18" t="s">
        <v>589</v>
      </c>
      <c r="C18">
        <v>50.8</v>
      </c>
      <c r="D18">
        <v>53.2</v>
      </c>
      <c r="E18">
        <v>56.1</v>
      </c>
      <c r="F18">
        <v>58.8</v>
      </c>
      <c r="G18">
        <v>63</v>
      </c>
      <c r="H18">
        <v>67.3</v>
      </c>
      <c r="I18">
        <v>69.5</v>
      </c>
      <c r="J18">
        <v>70</v>
      </c>
      <c r="K18">
        <v>69</v>
      </c>
      <c r="L18">
        <v>64.3</v>
      </c>
      <c r="M18">
        <v>55.9</v>
      </c>
      <c r="N18">
        <v>50.6</v>
      </c>
    </row>
    <row r="19" spans="1:14" x14ac:dyDescent="0.2">
      <c r="A19" t="s">
        <v>865</v>
      </c>
      <c r="B19" t="s">
        <v>589</v>
      </c>
      <c r="C19" s="5">
        <v>56.6</v>
      </c>
      <c r="D19" s="5">
        <v>57.1</v>
      </c>
      <c r="E19" s="5">
        <v>58.8</v>
      </c>
      <c r="F19" s="5">
        <v>61.2</v>
      </c>
      <c r="G19" s="5">
        <v>63</v>
      </c>
      <c r="H19" s="5">
        <v>65.099999999999994</v>
      </c>
      <c r="I19" s="5">
        <v>68.3</v>
      </c>
      <c r="J19" s="5">
        <v>69</v>
      </c>
      <c r="K19" s="5">
        <v>68.599999999999994</v>
      </c>
      <c r="L19" s="5">
        <v>65.8</v>
      </c>
      <c r="M19" s="5">
        <v>60.6</v>
      </c>
      <c r="N19" s="5">
        <v>56.2</v>
      </c>
    </row>
    <row r="20" spans="1:14" x14ac:dyDescent="0.2">
      <c r="A20" t="s">
        <v>965</v>
      </c>
      <c r="B20" t="s">
        <v>589</v>
      </c>
      <c r="C20">
        <v>44.3</v>
      </c>
      <c r="D20">
        <v>46.2</v>
      </c>
      <c r="E20">
        <v>49.5</v>
      </c>
      <c r="F20">
        <v>53.2</v>
      </c>
      <c r="G20">
        <v>60.6</v>
      </c>
      <c r="H20">
        <v>68</v>
      </c>
      <c r="I20">
        <v>74.8</v>
      </c>
      <c r="J20">
        <v>73.7</v>
      </c>
      <c r="K20">
        <v>68.8</v>
      </c>
      <c r="L20">
        <v>59.6</v>
      </c>
      <c r="M20">
        <v>49.8</v>
      </c>
      <c r="N20">
        <v>43.8</v>
      </c>
    </row>
    <row r="21" spans="1:14" x14ac:dyDescent="0.2">
      <c r="A21" t="s">
        <v>867</v>
      </c>
      <c r="B21" t="s">
        <v>613</v>
      </c>
      <c r="C21">
        <v>31.8</v>
      </c>
      <c r="D21">
        <v>33.4</v>
      </c>
      <c r="E21">
        <v>41.1</v>
      </c>
      <c r="F21">
        <v>47.5</v>
      </c>
      <c r="G21">
        <v>57.5</v>
      </c>
      <c r="H21">
        <v>67.2</v>
      </c>
      <c r="I21">
        <v>72.400000000000006</v>
      </c>
      <c r="J21">
        <v>70.099999999999994</v>
      </c>
      <c r="K21">
        <v>63</v>
      </c>
      <c r="L21">
        <v>50.7</v>
      </c>
      <c r="M21">
        <v>39.5</v>
      </c>
      <c r="N21">
        <v>31.7</v>
      </c>
    </row>
    <row r="22" spans="1:14" x14ac:dyDescent="0.2">
      <c r="A22" t="s">
        <v>568</v>
      </c>
      <c r="B22" t="s">
        <v>613</v>
      </c>
      <c r="C22">
        <v>31.7</v>
      </c>
      <c r="D22">
        <v>32.700000000000003</v>
      </c>
      <c r="E22">
        <v>41.6</v>
      </c>
      <c r="F22">
        <v>47.8</v>
      </c>
      <c r="G22">
        <v>57.4</v>
      </c>
      <c r="H22">
        <v>68.2</v>
      </c>
      <c r="I22">
        <v>75.099999999999994</v>
      </c>
      <c r="J22">
        <v>72.900000000000006</v>
      </c>
      <c r="K22">
        <v>64.8</v>
      </c>
      <c r="L22">
        <v>51.1</v>
      </c>
      <c r="M22">
        <v>39.4</v>
      </c>
      <c r="N22">
        <v>31.2</v>
      </c>
    </row>
    <row r="23" spans="1:14" x14ac:dyDescent="0.2">
      <c r="A23" t="s">
        <v>631</v>
      </c>
      <c r="B23" t="s">
        <v>632</v>
      </c>
      <c r="C23">
        <v>27.1</v>
      </c>
      <c r="D23">
        <v>29.6</v>
      </c>
      <c r="E23">
        <v>37.799999999999997</v>
      </c>
      <c r="F23">
        <v>49.5</v>
      </c>
      <c r="G23">
        <v>60</v>
      </c>
      <c r="H23">
        <v>68.900000000000006</v>
      </c>
      <c r="I23">
        <v>74.3</v>
      </c>
      <c r="J23">
        <v>72.5</v>
      </c>
      <c r="K23">
        <v>64.8</v>
      </c>
      <c r="L23">
        <v>53</v>
      </c>
      <c r="M23">
        <v>42.3</v>
      </c>
      <c r="N23">
        <v>32.6</v>
      </c>
    </row>
    <row r="24" spans="1:14" x14ac:dyDescent="0.2">
      <c r="A24" t="s">
        <v>689</v>
      </c>
      <c r="B24" t="s">
        <v>632</v>
      </c>
      <c r="C24">
        <v>30.5</v>
      </c>
      <c r="D24">
        <v>32</v>
      </c>
      <c r="E24">
        <v>38.5</v>
      </c>
      <c r="F24">
        <v>48.5</v>
      </c>
      <c r="G24">
        <v>58.5</v>
      </c>
      <c r="H24">
        <v>67.900000000000006</v>
      </c>
      <c r="I24">
        <v>73.900000000000006</v>
      </c>
      <c r="J24">
        <v>72.900000000000006</v>
      </c>
      <c r="K24">
        <v>66</v>
      </c>
      <c r="L24">
        <v>54.7</v>
      </c>
      <c r="M24">
        <v>44.7</v>
      </c>
      <c r="N24">
        <v>36.299999999999997</v>
      </c>
    </row>
    <row r="25" spans="1:14" x14ac:dyDescent="0.2">
      <c r="A25" t="s">
        <v>556</v>
      </c>
      <c r="B25" t="s">
        <v>609</v>
      </c>
      <c r="C25">
        <v>37.5</v>
      </c>
      <c r="D25">
        <v>40</v>
      </c>
      <c r="E25">
        <v>47.6</v>
      </c>
      <c r="F25">
        <v>58.2</v>
      </c>
      <c r="G25">
        <v>67.2</v>
      </c>
      <c r="H25">
        <v>76.3</v>
      </c>
      <c r="I25">
        <v>81</v>
      </c>
      <c r="J25">
        <v>79.400000000000006</v>
      </c>
      <c r="K25">
        <v>72.400000000000006</v>
      </c>
      <c r="L25">
        <v>60.8</v>
      </c>
      <c r="M25">
        <v>49.9</v>
      </c>
      <c r="N25">
        <v>41.7</v>
      </c>
    </row>
    <row r="26" spans="1:14" x14ac:dyDescent="0.2">
      <c r="A26" t="s">
        <v>723</v>
      </c>
      <c r="B26" t="s">
        <v>722</v>
      </c>
      <c r="C26">
        <v>36</v>
      </c>
      <c r="D26">
        <v>38.200000000000003</v>
      </c>
      <c r="E26">
        <v>45</v>
      </c>
      <c r="F26">
        <v>55.5</v>
      </c>
      <c r="G26">
        <v>64.400000000000006</v>
      </c>
      <c r="H26">
        <v>73.2</v>
      </c>
      <c r="I26">
        <v>77.900000000000006</v>
      </c>
      <c r="J26">
        <v>76.2</v>
      </c>
      <c r="K26">
        <v>70.099999999999994</v>
      </c>
      <c r="L26">
        <v>59.2</v>
      </c>
      <c r="M26">
        <v>48.7</v>
      </c>
      <c r="N26">
        <v>40.299999999999997</v>
      </c>
    </row>
    <row r="27" spans="1:14" x14ac:dyDescent="0.2">
      <c r="A27" t="s">
        <v>593</v>
      </c>
      <c r="B27" t="s">
        <v>608</v>
      </c>
      <c r="C27">
        <v>54.2</v>
      </c>
      <c r="D27">
        <v>57.5</v>
      </c>
      <c r="E27">
        <v>62.4</v>
      </c>
      <c r="F27">
        <v>68.099999999999994</v>
      </c>
      <c r="G27">
        <v>74.900000000000006</v>
      </c>
      <c r="H27">
        <v>80.3</v>
      </c>
      <c r="I27">
        <v>82.5</v>
      </c>
      <c r="J27">
        <v>82.1</v>
      </c>
      <c r="K27">
        <v>78.8</v>
      </c>
      <c r="L27">
        <v>71.2</v>
      </c>
      <c r="M27">
        <v>62.3</v>
      </c>
      <c r="N27">
        <v>56.7</v>
      </c>
    </row>
    <row r="28" spans="1:14" x14ac:dyDescent="0.2">
      <c r="A28" t="s">
        <v>966</v>
      </c>
      <c r="B28" t="s">
        <v>608</v>
      </c>
      <c r="C28">
        <v>70.599999999999994</v>
      </c>
      <c r="D28">
        <v>72.3</v>
      </c>
      <c r="E28">
        <v>74.400000000000006</v>
      </c>
      <c r="F28">
        <v>77.900000000000006</v>
      </c>
      <c r="G28">
        <v>81.099999999999994</v>
      </c>
      <c r="H28">
        <v>84.1</v>
      </c>
      <c r="I28">
        <v>85.4</v>
      </c>
      <c r="J28">
        <v>85.5</v>
      </c>
      <c r="K28">
        <v>84.1</v>
      </c>
      <c r="L28">
        <v>81.3</v>
      </c>
      <c r="M28">
        <v>76.599999999999994</v>
      </c>
      <c r="N28">
        <v>73</v>
      </c>
    </row>
    <row r="29" spans="1:14" x14ac:dyDescent="0.2">
      <c r="A29" t="s">
        <v>555</v>
      </c>
      <c r="B29" t="s">
        <v>608</v>
      </c>
      <c r="C29">
        <v>68.599999999999994</v>
      </c>
      <c r="D29">
        <v>70.7</v>
      </c>
      <c r="E29">
        <v>73.099999999999994</v>
      </c>
      <c r="F29">
        <v>76.7</v>
      </c>
      <c r="G29">
        <v>80.099999999999994</v>
      </c>
      <c r="H29">
        <v>82.8</v>
      </c>
      <c r="I29">
        <v>84.1</v>
      </c>
      <c r="J29">
        <v>84.2</v>
      </c>
      <c r="K29">
        <v>83</v>
      </c>
      <c r="L29">
        <v>80.099999999999994</v>
      </c>
      <c r="M29">
        <v>74.8</v>
      </c>
      <c r="N29">
        <v>71.2</v>
      </c>
    </row>
    <row r="30" spans="1:14" x14ac:dyDescent="0.2">
      <c r="A30" t="s">
        <v>569</v>
      </c>
      <c r="B30" t="s">
        <v>608</v>
      </c>
      <c r="C30">
        <v>60.6</v>
      </c>
      <c r="D30">
        <v>63.6</v>
      </c>
      <c r="E30">
        <v>67.3</v>
      </c>
      <c r="F30">
        <v>72.2</v>
      </c>
      <c r="G30">
        <v>77.3</v>
      </c>
      <c r="H30">
        <v>81.2</v>
      </c>
      <c r="I30">
        <v>82.6</v>
      </c>
      <c r="J30">
        <v>82.6</v>
      </c>
      <c r="K30">
        <v>81</v>
      </c>
      <c r="L30">
        <v>75.5</v>
      </c>
      <c r="M30">
        <v>68.2</v>
      </c>
      <c r="N30">
        <v>63.3</v>
      </c>
    </row>
    <row r="31" spans="1:14" x14ac:dyDescent="0.2">
      <c r="A31" t="s">
        <v>709</v>
      </c>
      <c r="B31" t="s">
        <v>608</v>
      </c>
      <c r="C31">
        <v>52.2</v>
      </c>
      <c r="D31">
        <v>55.6</v>
      </c>
      <c r="E31">
        <v>61.4</v>
      </c>
      <c r="F31">
        <v>67.3</v>
      </c>
      <c r="G31">
        <v>75.2</v>
      </c>
      <c r="H31">
        <v>80.8</v>
      </c>
      <c r="I31">
        <v>82.5</v>
      </c>
      <c r="J31">
        <v>82.4</v>
      </c>
      <c r="K31">
        <v>79.099999999999994</v>
      </c>
      <c r="L31">
        <v>70.3</v>
      </c>
      <c r="M31">
        <v>60.2</v>
      </c>
      <c r="N31">
        <v>54.4</v>
      </c>
    </row>
    <row r="32" spans="1:14" x14ac:dyDescent="0.2">
      <c r="A32" t="s">
        <v>566</v>
      </c>
      <c r="B32" t="s">
        <v>608</v>
      </c>
      <c r="C32">
        <v>62</v>
      </c>
      <c r="D32">
        <v>64.7</v>
      </c>
      <c r="E32">
        <v>68.599999999999994</v>
      </c>
      <c r="F32">
        <v>73.900000000000006</v>
      </c>
      <c r="G32">
        <v>79.5</v>
      </c>
      <c r="H32">
        <v>82.9</v>
      </c>
      <c r="I32">
        <v>83.8</v>
      </c>
      <c r="J32">
        <v>84</v>
      </c>
      <c r="K32">
        <v>82.7</v>
      </c>
      <c r="L32">
        <v>77.400000000000006</v>
      </c>
      <c r="M32">
        <v>69.8</v>
      </c>
      <c r="N32">
        <v>64.900000000000006</v>
      </c>
    </row>
    <row r="33" spans="1:14" x14ac:dyDescent="0.2">
      <c r="A33" t="s">
        <v>557</v>
      </c>
      <c r="B33" t="s">
        <v>603</v>
      </c>
      <c r="C33">
        <v>44.8</v>
      </c>
      <c r="D33">
        <v>48.5</v>
      </c>
      <c r="E33">
        <v>55.6</v>
      </c>
      <c r="F33">
        <v>63.2</v>
      </c>
      <c r="G33">
        <v>71.2</v>
      </c>
      <c r="H33">
        <v>77.900000000000006</v>
      </c>
      <c r="I33">
        <v>80.900000000000006</v>
      </c>
      <c r="J33">
        <v>80.2</v>
      </c>
      <c r="K33">
        <v>74.900000000000006</v>
      </c>
      <c r="L33">
        <v>64.7</v>
      </c>
      <c r="M33">
        <v>54.2</v>
      </c>
      <c r="N33">
        <v>47.3</v>
      </c>
    </row>
    <row r="34" spans="1:14" x14ac:dyDescent="0.2">
      <c r="A34" t="s">
        <v>864</v>
      </c>
      <c r="B34" t="s">
        <v>603</v>
      </c>
      <c r="C34">
        <v>50.7</v>
      </c>
      <c r="D34">
        <v>54</v>
      </c>
      <c r="E34">
        <v>60</v>
      </c>
      <c r="F34">
        <v>66.7</v>
      </c>
      <c r="G34">
        <v>74.099999999999994</v>
      </c>
      <c r="H34">
        <v>80.099999999999994</v>
      </c>
      <c r="I34">
        <v>83</v>
      </c>
      <c r="J34">
        <v>82.1</v>
      </c>
      <c r="K34">
        <v>77.7</v>
      </c>
      <c r="L34">
        <v>68.8</v>
      </c>
      <c r="M34">
        <v>59.1</v>
      </c>
      <c r="N34">
        <v>53.2</v>
      </c>
    </row>
    <row r="35" spans="1:14" x14ac:dyDescent="0.2">
      <c r="A35" t="s">
        <v>639</v>
      </c>
      <c r="B35" t="s">
        <v>640</v>
      </c>
      <c r="C35">
        <v>73.599999999999994</v>
      </c>
      <c r="D35">
        <v>73.8</v>
      </c>
      <c r="E35">
        <v>74.7</v>
      </c>
      <c r="F35">
        <v>76.599999999999994</v>
      </c>
      <c r="G35">
        <v>78.2</v>
      </c>
      <c r="H35">
        <v>80.3</v>
      </c>
      <c r="I35">
        <v>81.599999999999994</v>
      </c>
      <c r="J35">
        <v>82.2</v>
      </c>
      <c r="K35">
        <v>81.599999999999994</v>
      </c>
      <c r="L35">
        <v>80.400000000000006</v>
      </c>
      <c r="M35">
        <v>78</v>
      </c>
      <c r="N35">
        <v>75.5</v>
      </c>
    </row>
    <row r="36" spans="1:14" x14ac:dyDescent="0.2">
      <c r="A36" t="s">
        <v>871</v>
      </c>
      <c r="B36" t="s">
        <v>670</v>
      </c>
      <c r="C36">
        <v>21.9</v>
      </c>
      <c r="D36">
        <v>26.3</v>
      </c>
      <c r="E36">
        <v>38.6</v>
      </c>
      <c r="F36">
        <v>50.3</v>
      </c>
      <c r="G36">
        <v>61.7</v>
      </c>
      <c r="H36">
        <v>71.099999999999994</v>
      </c>
      <c r="I36">
        <v>73.7</v>
      </c>
      <c r="J36">
        <v>71.7</v>
      </c>
      <c r="K36">
        <v>64.599999999999994</v>
      </c>
      <c r="L36">
        <v>52.5</v>
      </c>
      <c r="M36">
        <v>39.200000000000003</v>
      </c>
      <c r="N36">
        <v>27.6</v>
      </c>
    </row>
    <row r="37" spans="1:14" x14ac:dyDescent="0.2">
      <c r="A37" t="s">
        <v>669</v>
      </c>
      <c r="B37" t="s">
        <v>670</v>
      </c>
      <c r="C37">
        <v>22.3</v>
      </c>
      <c r="D37">
        <v>26.9</v>
      </c>
      <c r="E37">
        <v>39.4</v>
      </c>
      <c r="F37">
        <v>51.3</v>
      </c>
      <c r="G37">
        <v>62.4</v>
      </c>
      <c r="H37">
        <v>72.2</v>
      </c>
      <c r="I37">
        <v>76</v>
      </c>
      <c r="J37">
        <v>73.900000000000006</v>
      </c>
      <c r="K37">
        <v>66.2</v>
      </c>
      <c r="L37">
        <v>53.2</v>
      </c>
      <c r="M37">
        <v>39.299999999999997</v>
      </c>
      <c r="N37">
        <v>27.7</v>
      </c>
    </row>
    <row r="38" spans="1:14" x14ac:dyDescent="0.2">
      <c r="A38" t="s">
        <v>661</v>
      </c>
      <c r="B38" t="s">
        <v>662</v>
      </c>
      <c r="C38">
        <v>32.200000000000003</v>
      </c>
      <c r="D38">
        <v>37.5</v>
      </c>
      <c r="E38">
        <v>45.2</v>
      </c>
      <c r="F38">
        <v>50.9</v>
      </c>
      <c r="G38">
        <v>59.9</v>
      </c>
      <c r="H38">
        <v>67.8</v>
      </c>
      <c r="I38">
        <v>77.3</v>
      </c>
      <c r="J38">
        <v>75.8</v>
      </c>
      <c r="K38">
        <v>66.3</v>
      </c>
      <c r="L38">
        <v>53.2</v>
      </c>
      <c r="M38">
        <v>40.299999999999997</v>
      </c>
      <c r="N38">
        <v>32.1</v>
      </c>
    </row>
    <row r="39" spans="1:14" x14ac:dyDescent="0.2">
      <c r="A39" t="s">
        <v>1075</v>
      </c>
      <c r="B39" t="s">
        <v>662</v>
      </c>
      <c r="C39">
        <v>29.35</v>
      </c>
      <c r="D39">
        <v>33.5</v>
      </c>
      <c r="E39">
        <v>41.65</v>
      </c>
      <c r="F39">
        <v>46.95</v>
      </c>
      <c r="G39">
        <v>55.35</v>
      </c>
      <c r="H39">
        <v>63</v>
      </c>
      <c r="I39">
        <v>70.8</v>
      </c>
      <c r="J39">
        <v>69.2</v>
      </c>
      <c r="K39">
        <v>60.400000000000006</v>
      </c>
      <c r="L39">
        <v>49.1</v>
      </c>
      <c r="M39">
        <v>37.849999999999994</v>
      </c>
      <c r="N39">
        <v>29.25</v>
      </c>
    </row>
    <row r="40" spans="1:14" x14ac:dyDescent="0.2">
      <c r="A40" t="s">
        <v>872</v>
      </c>
      <c r="B40" t="s">
        <v>662</v>
      </c>
      <c r="C40">
        <v>29.6</v>
      </c>
      <c r="D40">
        <v>32.9</v>
      </c>
      <c r="E40">
        <v>40</v>
      </c>
      <c r="F40">
        <v>47</v>
      </c>
      <c r="G40">
        <v>56</v>
      </c>
      <c r="H40">
        <v>62.3</v>
      </c>
      <c r="I40">
        <v>71</v>
      </c>
      <c r="J40">
        <v>70.3</v>
      </c>
      <c r="K40">
        <v>61.1</v>
      </c>
      <c r="L40">
        <v>47.9</v>
      </c>
      <c r="M40">
        <v>36.299999999999997</v>
      </c>
      <c r="N40">
        <v>29.1</v>
      </c>
    </row>
    <row r="41" spans="1:14" x14ac:dyDescent="0.2">
      <c r="A41" t="s">
        <v>552</v>
      </c>
      <c r="B41" t="s">
        <v>590</v>
      </c>
      <c r="C41">
        <v>26.2</v>
      </c>
      <c r="D41">
        <v>29.9</v>
      </c>
      <c r="E41">
        <v>39.9</v>
      </c>
      <c r="F41">
        <v>50.9</v>
      </c>
      <c r="G41">
        <v>61.9</v>
      </c>
      <c r="H41">
        <v>71.900000000000006</v>
      </c>
      <c r="I41">
        <v>76.7</v>
      </c>
      <c r="J41">
        <v>75</v>
      </c>
      <c r="K41">
        <v>67.8</v>
      </c>
      <c r="L41">
        <v>55.3</v>
      </c>
      <c r="M41">
        <v>42.4</v>
      </c>
      <c r="N41">
        <v>31.5</v>
      </c>
    </row>
    <row r="42" spans="1:14" x14ac:dyDescent="0.2">
      <c r="A42" t="s">
        <v>720</v>
      </c>
      <c r="B42" t="s">
        <v>590</v>
      </c>
      <c r="C42">
        <v>27.9</v>
      </c>
      <c r="D42">
        <v>32.4</v>
      </c>
      <c r="E42">
        <v>43.2</v>
      </c>
      <c r="F42">
        <v>54.4</v>
      </c>
      <c r="G42">
        <v>65.099999999999994</v>
      </c>
      <c r="H42">
        <v>73.7</v>
      </c>
      <c r="I42">
        <v>76.5</v>
      </c>
      <c r="J42">
        <v>74.900000000000006</v>
      </c>
      <c r="K42">
        <v>68</v>
      </c>
      <c r="L42">
        <v>56</v>
      </c>
      <c r="M42">
        <v>43.5</v>
      </c>
      <c r="N42">
        <v>32.9</v>
      </c>
    </row>
    <row r="43" spans="1:14" x14ac:dyDescent="0.2">
      <c r="A43" t="s">
        <v>582</v>
      </c>
      <c r="B43" t="s">
        <v>620</v>
      </c>
      <c r="C43">
        <v>28.5</v>
      </c>
      <c r="D43">
        <v>32.5</v>
      </c>
      <c r="E43">
        <v>42.4</v>
      </c>
      <c r="F43">
        <v>53.6</v>
      </c>
      <c r="G43">
        <v>63.6</v>
      </c>
      <c r="H43">
        <v>72.5</v>
      </c>
      <c r="I43">
        <v>75.8</v>
      </c>
      <c r="J43">
        <v>74.7</v>
      </c>
      <c r="K43">
        <v>67.8</v>
      </c>
      <c r="L43">
        <v>55.5</v>
      </c>
      <c r="M43">
        <v>43.3</v>
      </c>
      <c r="N43">
        <v>33.299999999999997</v>
      </c>
    </row>
    <row r="44" spans="1:14" x14ac:dyDescent="0.2">
      <c r="A44" t="s">
        <v>717</v>
      </c>
      <c r="B44" t="s">
        <v>677</v>
      </c>
      <c r="C44">
        <v>30.2</v>
      </c>
      <c r="D44">
        <v>34.9</v>
      </c>
      <c r="E44">
        <v>45.6</v>
      </c>
      <c r="F44">
        <v>55.5</v>
      </c>
      <c r="G44">
        <v>65.7</v>
      </c>
      <c r="H44">
        <v>75.5</v>
      </c>
      <c r="I44">
        <v>79.8</v>
      </c>
      <c r="J44">
        <v>77.900000000000006</v>
      </c>
      <c r="K44">
        <v>69.2</v>
      </c>
      <c r="L44">
        <v>57</v>
      </c>
      <c r="M44">
        <v>44.2</v>
      </c>
      <c r="N44">
        <v>33.9</v>
      </c>
    </row>
    <row r="45" spans="1:14" x14ac:dyDescent="0.2">
      <c r="A45" t="s">
        <v>969</v>
      </c>
      <c r="B45" t="s">
        <v>677</v>
      </c>
      <c r="C45">
        <v>33.200000000000003</v>
      </c>
      <c r="D45">
        <v>37.6</v>
      </c>
      <c r="E45">
        <v>47.4</v>
      </c>
      <c r="F45">
        <v>56.5</v>
      </c>
      <c r="G45">
        <v>66.7</v>
      </c>
      <c r="H45">
        <v>76.900000000000006</v>
      </c>
      <c r="I45">
        <v>81.5</v>
      </c>
      <c r="J45">
        <v>79.900000000000006</v>
      </c>
      <c r="K45">
        <v>71.7</v>
      </c>
      <c r="L45">
        <v>59</v>
      </c>
      <c r="M45">
        <v>45.8</v>
      </c>
      <c r="N45">
        <v>35.6</v>
      </c>
    </row>
    <row r="46" spans="1:14" x14ac:dyDescent="0.2">
      <c r="A46" t="s">
        <v>863</v>
      </c>
      <c r="B46" t="s">
        <v>626</v>
      </c>
      <c r="C46" s="5">
        <v>37.200000000000003</v>
      </c>
      <c r="D46" s="5">
        <v>41.1</v>
      </c>
      <c r="E46" s="5">
        <v>49.2</v>
      </c>
      <c r="F46" s="5">
        <v>59</v>
      </c>
      <c r="G46" s="5">
        <v>68</v>
      </c>
      <c r="H46" s="5">
        <v>76.099999999999994</v>
      </c>
      <c r="I46" s="5">
        <v>79.7</v>
      </c>
      <c r="J46" s="5">
        <v>78.5</v>
      </c>
      <c r="K46" s="5">
        <v>71.400000000000006</v>
      </c>
      <c r="L46" s="5">
        <v>60</v>
      </c>
      <c r="M46" s="5">
        <v>48.4</v>
      </c>
      <c r="N46" s="5">
        <v>40.5</v>
      </c>
    </row>
    <row r="47" spans="1:14" x14ac:dyDescent="0.2">
      <c r="A47" t="s">
        <v>739</v>
      </c>
      <c r="B47" t="s">
        <v>626</v>
      </c>
      <c r="C47">
        <v>34.1</v>
      </c>
      <c r="D47">
        <v>37.799999999999997</v>
      </c>
      <c r="E47">
        <v>46.2</v>
      </c>
      <c r="F47">
        <v>56.7</v>
      </c>
      <c r="G47">
        <v>65.5</v>
      </c>
      <c r="H47">
        <v>73.7</v>
      </c>
      <c r="I47">
        <v>77.2</v>
      </c>
      <c r="J47">
        <v>76.099999999999994</v>
      </c>
      <c r="K47">
        <v>69.2</v>
      </c>
      <c r="L47">
        <v>57.6</v>
      </c>
      <c r="M47">
        <v>46.1</v>
      </c>
      <c r="N47">
        <v>38.1</v>
      </c>
    </row>
    <row r="48" spans="1:14" x14ac:dyDescent="0.2">
      <c r="A48" t="s">
        <v>598</v>
      </c>
      <c r="B48" t="s">
        <v>626</v>
      </c>
      <c r="C48">
        <v>35.700000000000003</v>
      </c>
      <c r="D48">
        <v>39.5</v>
      </c>
      <c r="E48">
        <v>48.4</v>
      </c>
      <c r="F48">
        <v>59</v>
      </c>
      <c r="G48">
        <v>68.3</v>
      </c>
      <c r="H48">
        <v>76.400000000000006</v>
      </c>
      <c r="I48">
        <v>79.900000000000006</v>
      </c>
      <c r="J48">
        <v>78.900000000000006</v>
      </c>
      <c r="K48">
        <v>72</v>
      </c>
      <c r="L48">
        <v>60.3</v>
      </c>
      <c r="M48">
        <v>48.5</v>
      </c>
      <c r="N48">
        <v>39.6</v>
      </c>
    </row>
    <row r="49" spans="1:14" x14ac:dyDescent="0.2">
      <c r="A49" t="s">
        <v>654</v>
      </c>
      <c r="B49" t="s">
        <v>645</v>
      </c>
      <c r="C49">
        <v>52</v>
      </c>
      <c r="D49">
        <v>55.9</v>
      </c>
      <c r="E49">
        <v>62</v>
      </c>
      <c r="F49">
        <v>68</v>
      </c>
      <c r="G49">
        <v>75.5</v>
      </c>
      <c r="H49">
        <v>81</v>
      </c>
      <c r="I49">
        <v>82.9</v>
      </c>
      <c r="J49">
        <v>82.8</v>
      </c>
      <c r="K49">
        <v>78.8</v>
      </c>
      <c r="L49">
        <v>69.5</v>
      </c>
      <c r="M49">
        <v>59.4</v>
      </c>
      <c r="N49">
        <v>53.8</v>
      </c>
    </row>
    <row r="50" spans="1:14" x14ac:dyDescent="0.2">
      <c r="A50" t="s">
        <v>644</v>
      </c>
      <c r="B50" t="s">
        <v>645</v>
      </c>
      <c r="C50">
        <v>54.3</v>
      </c>
      <c r="D50">
        <v>58</v>
      </c>
      <c r="E50">
        <v>63.8</v>
      </c>
      <c r="F50">
        <v>70.099999999999994</v>
      </c>
      <c r="G50">
        <v>77.099999999999994</v>
      </c>
      <c r="H50">
        <v>82.4</v>
      </c>
      <c r="I50">
        <v>83.9</v>
      </c>
      <c r="J50">
        <v>84</v>
      </c>
      <c r="K50">
        <v>80.8</v>
      </c>
      <c r="L50">
        <v>72.5</v>
      </c>
      <c r="M50">
        <v>62.4</v>
      </c>
      <c r="N50">
        <v>56.6</v>
      </c>
    </row>
    <row r="51" spans="1:14" x14ac:dyDescent="0.2">
      <c r="A51" t="s">
        <v>560</v>
      </c>
      <c r="B51" t="s">
        <v>606</v>
      </c>
      <c r="C51">
        <v>29.9</v>
      </c>
      <c r="D51">
        <v>31.8</v>
      </c>
      <c r="E51">
        <v>38.299999999999997</v>
      </c>
      <c r="F51">
        <v>48.6</v>
      </c>
      <c r="G51">
        <v>58.4</v>
      </c>
      <c r="H51">
        <v>68</v>
      </c>
      <c r="I51">
        <v>74.099999999999994</v>
      </c>
      <c r="J51">
        <v>72.7</v>
      </c>
      <c r="K51">
        <v>65.599999999999994</v>
      </c>
      <c r="L51">
        <v>54.8</v>
      </c>
      <c r="M51">
        <v>44.7</v>
      </c>
      <c r="N51">
        <v>35.700000000000003</v>
      </c>
    </row>
    <row r="52" spans="1:14" x14ac:dyDescent="0.2">
      <c r="A52" t="s">
        <v>743</v>
      </c>
      <c r="B52" t="s">
        <v>615</v>
      </c>
      <c r="C52">
        <v>36.5</v>
      </c>
      <c r="D52">
        <v>38.4</v>
      </c>
      <c r="E52">
        <v>45.7</v>
      </c>
      <c r="F52">
        <v>55.4</v>
      </c>
      <c r="G52">
        <v>65.099999999999994</v>
      </c>
      <c r="H52">
        <v>74.599999999999994</v>
      </c>
      <c r="I52">
        <v>79</v>
      </c>
      <c r="J52">
        <v>77.099999999999994</v>
      </c>
      <c r="K52">
        <v>71.099999999999994</v>
      </c>
      <c r="L52">
        <v>59.7</v>
      </c>
      <c r="M52">
        <v>49.3</v>
      </c>
      <c r="N52">
        <v>40.6</v>
      </c>
    </row>
    <row r="53" spans="1:14" x14ac:dyDescent="0.2">
      <c r="A53" t="s">
        <v>571</v>
      </c>
      <c r="B53" t="s">
        <v>615</v>
      </c>
      <c r="C53">
        <v>36.9</v>
      </c>
      <c r="D53">
        <v>39.4</v>
      </c>
      <c r="E53">
        <v>46.9</v>
      </c>
      <c r="F53">
        <v>57.5</v>
      </c>
      <c r="G53">
        <v>67</v>
      </c>
      <c r="H53">
        <v>76.599999999999994</v>
      </c>
      <c r="I53">
        <v>81.5</v>
      </c>
      <c r="J53">
        <v>79.099999999999994</v>
      </c>
      <c r="K53">
        <v>72.5</v>
      </c>
      <c r="L53">
        <v>60.7</v>
      </c>
      <c r="M53">
        <v>50.1</v>
      </c>
      <c r="N53">
        <v>41.3</v>
      </c>
    </row>
    <row r="54" spans="1:14" x14ac:dyDescent="0.2">
      <c r="A54" t="s">
        <v>741</v>
      </c>
      <c r="B54" t="s">
        <v>693</v>
      </c>
      <c r="C54">
        <v>20.399999999999999</v>
      </c>
      <c r="D54">
        <v>23.2</v>
      </c>
      <c r="E54">
        <v>32</v>
      </c>
      <c r="F54">
        <v>43.8</v>
      </c>
      <c r="G54">
        <v>55.3</v>
      </c>
      <c r="H54">
        <v>64.2</v>
      </c>
      <c r="I54">
        <v>70.099999999999994</v>
      </c>
      <c r="J54">
        <v>68.900000000000006</v>
      </c>
      <c r="K54">
        <v>61</v>
      </c>
      <c r="L54">
        <v>49.2</v>
      </c>
      <c r="M54">
        <v>38</v>
      </c>
      <c r="N54">
        <v>27.2</v>
      </c>
    </row>
    <row r="55" spans="1:14" x14ac:dyDescent="0.2">
      <c r="A55" t="s">
        <v>692</v>
      </c>
      <c r="B55" t="s">
        <v>693</v>
      </c>
      <c r="C55">
        <v>24</v>
      </c>
      <c r="D55">
        <v>26.2</v>
      </c>
      <c r="E55">
        <v>34.1</v>
      </c>
      <c r="F55">
        <v>44.6</v>
      </c>
      <c r="G55">
        <v>54.9</v>
      </c>
      <c r="H55">
        <v>64.3</v>
      </c>
      <c r="I55">
        <v>70.400000000000006</v>
      </c>
      <c r="J55">
        <v>69.2</v>
      </c>
      <c r="K55">
        <v>61.6</v>
      </c>
      <c r="L55">
        <v>50.3</v>
      </c>
      <c r="M55">
        <v>40</v>
      </c>
      <c r="N55">
        <v>30.3</v>
      </c>
    </row>
    <row r="56" spans="1:14" x14ac:dyDescent="0.2">
      <c r="A56" t="s">
        <v>563</v>
      </c>
      <c r="B56" t="s">
        <v>610</v>
      </c>
      <c r="C56">
        <v>25.8</v>
      </c>
      <c r="D56">
        <v>28</v>
      </c>
      <c r="E56">
        <v>37.200000000000003</v>
      </c>
      <c r="F56">
        <v>48.9</v>
      </c>
      <c r="G56">
        <v>60.3</v>
      </c>
      <c r="H56">
        <v>69.900000000000006</v>
      </c>
      <c r="I56">
        <v>74.099999999999994</v>
      </c>
      <c r="J56">
        <v>72.3</v>
      </c>
      <c r="K56">
        <v>64.900000000000006</v>
      </c>
      <c r="L56">
        <v>53</v>
      </c>
      <c r="M56">
        <v>41.2</v>
      </c>
      <c r="N56">
        <v>31.3</v>
      </c>
    </row>
    <row r="57" spans="1:14" x14ac:dyDescent="0.2">
      <c r="A57" t="s">
        <v>630</v>
      </c>
      <c r="B57" t="s">
        <v>610</v>
      </c>
      <c r="C57">
        <v>24.8</v>
      </c>
      <c r="D57">
        <v>26.6</v>
      </c>
      <c r="E57">
        <v>35.700000000000003</v>
      </c>
      <c r="F57">
        <v>47.6</v>
      </c>
      <c r="G57">
        <v>59.2</v>
      </c>
      <c r="H57">
        <v>68.900000000000006</v>
      </c>
      <c r="I57">
        <v>72.8</v>
      </c>
      <c r="J57">
        <v>71.099999999999994</v>
      </c>
      <c r="K57">
        <v>63.5</v>
      </c>
      <c r="L57">
        <v>51.5</v>
      </c>
      <c r="M57">
        <v>40</v>
      </c>
      <c r="N57">
        <v>30.4</v>
      </c>
    </row>
    <row r="58" spans="1:14" x14ac:dyDescent="0.2">
      <c r="A58" t="s">
        <v>745</v>
      </c>
      <c r="B58" t="s">
        <v>610</v>
      </c>
      <c r="C58">
        <v>23.9</v>
      </c>
      <c r="D58">
        <v>25.9</v>
      </c>
      <c r="E58">
        <v>35.200000000000003</v>
      </c>
      <c r="F58">
        <v>47</v>
      </c>
      <c r="G58">
        <v>58.4</v>
      </c>
      <c r="H58">
        <v>68</v>
      </c>
      <c r="I58">
        <v>71.8</v>
      </c>
      <c r="J58">
        <v>70</v>
      </c>
      <c r="K58">
        <v>62.5</v>
      </c>
      <c r="L58">
        <v>50.8</v>
      </c>
      <c r="M58">
        <v>39.5</v>
      </c>
      <c r="N58">
        <v>29.5</v>
      </c>
    </row>
    <row r="59" spans="1:14" x14ac:dyDescent="0.2">
      <c r="A59" t="s">
        <v>565</v>
      </c>
      <c r="B59" t="s">
        <v>612</v>
      </c>
      <c r="C59">
        <v>16.2</v>
      </c>
      <c r="D59">
        <v>20.6</v>
      </c>
      <c r="E59">
        <v>33.299999999999997</v>
      </c>
      <c r="F59">
        <v>47.1</v>
      </c>
      <c r="G59">
        <v>59.5</v>
      </c>
      <c r="H59">
        <v>69.7</v>
      </c>
      <c r="I59">
        <v>74.3</v>
      </c>
      <c r="J59">
        <v>71.8</v>
      </c>
      <c r="K59">
        <v>63.5</v>
      </c>
      <c r="L59">
        <v>49.5</v>
      </c>
      <c r="M59">
        <v>34.799999999999997</v>
      </c>
      <c r="N59">
        <v>22</v>
      </c>
    </row>
    <row r="60" spans="1:14" x14ac:dyDescent="0.2">
      <c r="A60" t="s">
        <v>727</v>
      </c>
      <c r="B60" t="s">
        <v>616</v>
      </c>
      <c r="C60">
        <v>30.3</v>
      </c>
      <c r="D60">
        <v>34.9</v>
      </c>
      <c r="E60">
        <v>44.6</v>
      </c>
      <c r="F60">
        <v>55.2</v>
      </c>
      <c r="G60">
        <v>64.900000000000006</v>
      </c>
      <c r="H60">
        <v>74.099999999999994</v>
      </c>
      <c r="I60">
        <v>78.3</v>
      </c>
      <c r="J60">
        <v>76.900000000000006</v>
      </c>
      <c r="K60">
        <v>69</v>
      </c>
      <c r="L60">
        <v>57.2</v>
      </c>
      <c r="M60">
        <v>45</v>
      </c>
      <c r="N60">
        <v>34.9</v>
      </c>
    </row>
    <row r="61" spans="1:14" x14ac:dyDescent="0.2">
      <c r="A61" t="s">
        <v>580</v>
      </c>
      <c r="B61" t="s">
        <v>616</v>
      </c>
      <c r="C61">
        <v>31</v>
      </c>
      <c r="D61">
        <v>35.799999999999997</v>
      </c>
      <c r="E61">
        <v>46.4</v>
      </c>
      <c r="F61">
        <v>56.5</v>
      </c>
      <c r="G61">
        <v>66.7</v>
      </c>
      <c r="H61">
        <v>76.5</v>
      </c>
      <c r="I61">
        <v>81</v>
      </c>
      <c r="J61">
        <v>79.2</v>
      </c>
      <c r="K61">
        <v>70.7</v>
      </c>
      <c r="L61">
        <v>58.4</v>
      </c>
      <c r="M61">
        <v>45.4</v>
      </c>
      <c r="N61">
        <v>35.299999999999997</v>
      </c>
    </row>
    <row r="62" spans="1:14" x14ac:dyDescent="0.2">
      <c r="A62" t="s">
        <v>572</v>
      </c>
      <c r="B62" t="s">
        <v>616</v>
      </c>
      <c r="C62">
        <v>32.1</v>
      </c>
      <c r="D62">
        <v>36.700000000000003</v>
      </c>
      <c r="E62">
        <v>46.6</v>
      </c>
      <c r="F62">
        <v>57.5</v>
      </c>
      <c r="G62">
        <v>67.5</v>
      </c>
      <c r="H62">
        <v>76.5</v>
      </c>
      <c r="I62">
        <v>80.400000000000006</v>
      </c>
      <c r="J62">
        <v>78.8</v>
      </c>
      <c r="K62">
        <v>71</v>
      </c>
      <c r="L62">
        <v>59.1</v>
      </c>
      <c r="M62">
        <v>46.5</v>
      </c>
      <c r="N62">
        <v>36.5</v>
      </c>
    </row>
    <row r="63" spans="1:14" x14ac:dyDescent="0.2">
      <c r="A63" t="s">
        <v>683</v>
      </c>
      <c r="B63" t="s">
        <v>684</v>
      </c>
      <c r="C63">
        <v>47</v>
      </c>
      <c r="D63">
        <v>50.9</v>
      </c>
      <c r="E63">
        <v>57.9</v>
      </c>
      <c r="F63">
        <v>64.900000000000006</v>
      </c>
      <c r="G63">
        <v>72.900000000000006</v>
      </c>
      <c r="H63">
        <v>79.599999999999994</v>
      </c>
      <c r="I63">
        <v>82.1</v>
      </c>
      <c r="J63">
        <v>81.8</v>
      </c>
      <c r="K63">
        <v>76.900000000000006</v>
      </c>
      <c r="L63">
        <v>66.2</v>
      </c>
      <c r="M63">
        <v>55.4</v>
      </c>
      <c r="N63">
        <v>49.1</v>
      </c>
    </row>
    <row r="64" spans="1:14" x14ac:dyDescent="0.2">
      <c r="A64" t="s">
        <v>725</v>
      </c>
      <c r="B64" t="s">
        <v>724</v>
      </c>
      <c r="C64">
        <v>27</v>
      </c>
      <c r="D64">
        <v>29.4</v>
      </c>
      <c r="E64">
        <v>38</v>
      </c>
      <c r="F64">
        <v>45.8</v>
      </c>
      <c r="G64">
        <v>55.3</v>
      </c>
      <c r="H64">
        <v>64.7</v>
      </c>
      <c r="I64">
        <v>73.3</v>
      </c>
      <c r="J64">
        <v>71.599999999999994</v>
      </c>
      <c r="K64">
        <v>61.4</v>
      </c>
      <c r="L64">
        <v>47.9</v>
      </c>
      <c r="M64">
        <v>36.200000000000003</v>
      </c>
      <c r="N64">
        <v>27.6</v>
      </c>
    </row>
    <row r="65" spans="1:14" x14ac:dyDescent="0.2">
      <c r="A65" t="s">
        <v>862</v>
      </c>
      <c r="B65" t="s">
        <v>724</v>
      </c>
      <c r="C65">
        <v>24.6</v>
      </c>
      <c r="D65">
        <v>26.7</v>
      </c>
      <c r="E65">
        <v>35</v>
      </c>
      <c r="F65">
        <v>42.5</v>
      </c>
      <c r="G65">
        <v>51</v>
      </c>
      <c r="H65">
        <v>58.6</v>
      </c>
      <c r="I65">
        <v>66.900000000000006</v>
      </c>
      <c r="J65">
        <v>65.599999999999994</v>
      </c>
      <c r="K65">
        <v>56.9</v>
      </c>
      <c r="L65">
        <v>44.9</v>
      </c>
      <c r="M65">
        <v>32.299999999999997</v>
      </c>
      <c r="N65">
        <v>23.9</v>
      </c>
    </row>
    <row r="66" spans="1:14" x14ac:dyDescent="0.2">
      <c r="A66" t="s">
        <v>730</v>
      </c>
      <c r="B66" t="s">
        <v>724</v>
      </c>
      <c r="C66">
        <v>23</v>
      </c>
      <c r="D66">
        <v>27.2</v>
      </c>
      <c r="E66">
        <v>36.1</v>
      </c>
      <c r="F66">
        <v>44.5</v>
      </c>
      <c r="G66">
        <v>53.9</v>
      </c>
      <c r="H66">
        <v>61.7</v>
      </c>
      <c r="I66">
        <v>70.599999999999994</v>
      </c>
      <c r="J66">
        <v>68.8</v>
      </c>
      <c r="K66">
        <v>58.9</v>
      </c>
      <c r="L66">
        <v>45.5</v>
      </c>
      <c r="M66">
        <v>32.799999999999997</v>
      </c>
      <c r="N66">
        <v>23.4</v>
      </c>
    </row>
    <row r="67" spans="1:14" x14ac:dyDescent="0.2">
      <c r="A67" t="s">
        <v>861</v>
      </c>
      <c r="B67" t="s">
        <v>614</v>
      </c>
      <c r="C67" s="5">
        <v>38.700000000000003</v>
      </c>
      <c r="D67" s="5">
        <v>42.1</v>
      </c>
      <c r="E67" s="5">
        <v>48.4</v>
      </c>
      <c r="F67" s="5">
        <v>57</v>
      </c>
      <c r="G67" s="5">
        <v>64.8</v>
      </c>
      <c r="H67" s="5">
        <v>71.8</v>
      </c>
      <c r="I67" s="5">
        <v>75.099999999999994</v>
      </c>
      <c r="J67" s="5">
        <v>74</v>
      </c>
      <c r="K67" s="5">
        <v>68.3</v>
      </c>
      <c r="L67" s="5">
        <v>57.9</v>
      </c>
      <c r="M67" s="5">
        <v>47.8</v>
      </c>
      <c r="N67" s="5">
        <v>41.4</v>
      </c>
    </row>
    <row r="68" spans="1:14" x14ac:dyDescent="0.2">
      <c r="A68" t="s">
        <v>570</v>
      </c>
      <c r="B68" t="s">
        <v>614</v>
      </c>
      <c r="C68">
        <v>42.1</v>
      </c>
      <c r="D68">
        <v>45.7</v>
      </c>
      <c r="E68">
        <v>52.7</v>
      </c>
      <c r="F68">
        <v>61.1</v>
      </c>
      <c r="G68">
        <v>69</v>
      </c>
      <c r="H68">
        <v>76.599999999999994</v>
      </c>
      <c r="I68">
        <v>80.099999999999994</v>
      </c>
      <c r="J68">
        <v>78.599999999999994</v>
      </c>
      <c r="K68">
        <v>72.7</v>
      </c>
      <c r="L68">
        <v>61.9</v>
      </c>
      <c r="M68">
        <v>51.4</v>
      </c>
      <c r="N68">
        <v>44.7</v>
      </c>
    </row>
    <row r="69" spans="1:14" x14ac:dyDescent="0.2">
      <c r="A69" t="s">
        <v>596</v>
      </c>
      <c r="B69" t="s">
        <v>614</v>
      </c>
      <c r="C69">
        <v>41.9</v>
      </c>
      <c r="D69">
        <v>45</v>
      </c>
      <c r="E69">
        <v>51.8</v>
      </c>
      <c r="F69">
        <v>60.8</v>
      </c>
      <c r="G69">
        <v>68.8</v>
      </c>
      <c r="H69">
        <v>76.7</v>
      </c>
      <c r="I69">
        <v>80.5</v>
      </c>
      <c r="J69">
        <v>78.8</v>
      </c>
      <c r="K69">
        <v>72.599999999999994</v>
      </c>
      <c r="L69">
        <v>61.7</v>
      </c>
      <c r="M69">
        <v>51.5</v>
      </c>
      <c r="N69">
        <v>44.6</v>
      </c>
    </row>
    <row r="70" spans="1:14" x14ac:dyDescent="0.2">
      <c r="A70" t="s">
        <v>728</v>
      </c>
      <c r="B70" t="s">
        <v>715</v>
      </c>
      <c r="C70">
        <v>12.8</v>
      </c>
      <c r="D70">
        <v>17.5</v>
      </c>
      <c r="E70">
        <v>30.1</v>
      </c>
      <c r="F70">
        <v>43.2</v>
      </c>
      <c r="G70">
        <v>55.3</v>
      </c>
      <c r="H70">
        <v>65.400000000000006</v>
      </c>
      <c r="I70">
        <v>71.3</v>
      </c>
      <c r="J70">
        <v>69.599999999999994</v>
      </c>
      <c r="K70">
        <v>59.7</v>
      </c>
      <c r="L70">
        <v>44.8</v>
      </c>
      <c r="M70">
        <v>29.9</v>
      </c>
      <c r="N70">
        <v>17.899999999999999</v>
      </c>
    </row>
    <row r="71" spans="1:14" x14ac:dyDescent="0.2">
      <c r="A71" t="s">
        <v>716</v>
      </c>
      <c r="B71" t="s">
        <v>715</v>
      </c>
      <c r="C71">
        <v>8.6</v>
      </c>
      <c r="D71">
        <v>13.4</v>
      </c>
      <c r="E71">
        <v>27.2</v>
      </c>
      <c r="F71">
        <v>43</v>
      </c>
      <c r="G71">
        <v>56.6</v>
      </c>
      <c r="H71">
        <v>66.8</v>
      </c>
      <c r="I71">
        <v>70.7</v>
      </c>
      <c r="J71">
        <v>68.8</v>
      </c>
      <c r="K71">
        <v>60</v>
      </c>
      <c r="L71">
        <v>45.5</v>
      </c>
      <c r="M71">
        <v>29.5</v>
      </c>
      <c r="N71">
        <v>15.7</v>
      </c>
    </row>
    <row r="72" spans="1:14" x14ac:dyDescent="0.2">
      <c r="A72" t="s">
        <v>707</v>
      </c>
      <c r="B72" t="s">
        <v>638</v>
      </c>
      <c r="C72">
        <v>25</v>
      </c>
      <c r="D72">
        <v>29.5</v>
      </c>
      <c r="E72">
        <v>41.2</v>
      </c>
      <c r="F72">
        <v>52</v>
      </c>
      <c r="G72">
        <v>63.1</v>
      </c>
      <c r="H72">
        <v>73.7</v>
      </c>
      <c r="I72">
        <v>78.099999999999994</v>
      </c>
      <c r="J72">
        <v>75.599999999999994</v>
      </c>
      <c r="K72">
        <v>67.2</v>
      </c>
      <c r="L72">
        <v>53.8</v>
      </c>
      <c r="M72">
        <v>39.799999999999997</v>
      </c>
      <c r="N72">
        <v>28.8</v>
      </c>
    </row>
    <row r="73" spans="1:14" x14ac:dyDescent="0.2">
      <c r="A73" t="s">
        <v>637</v>
      </c>
      <c r="B73" t="s">
        <v>638</v>
      </c>
      <c r="C73">
        <v>24.4</v>
      </c>
      <c r="D73">
        <v>28.9</v>
      </c>
      <c r="E73">
        <v>41</v>
      </c>
      <c r="F73">
        <v>52.6</v>
      </c>
      <c r="G73">
        <v>63.6</v>
      </c>
      <c r="H73">
        <v>73.900000000000006</v>
      </c>
      <c r="I73">
        <v>78.099999999999994</v>
      </c>
      <c r="J73">
        <v>75.7</v>
      </c>
      <c r="K73">
        <v>67.599999999999994</v>
      </c>
      <c r="L73">
        <v>54.4</v>
      </c>
      <c r="M73">
        <v>40.200000000000003</v>
      </c>
      <c r="N73">
        <v>28.7</v>
      </c>
    </row>
    <row r="74" spans="1:14" x14ac:dyDescent="0.2">
      <c r="A74" t="s">
        <v>746</v>
      </c>
      <c r="B74" t="s">
        <v>699</v>
      </c>
      <c r="C74">
        <v>22.3</v>
      </c>
      <c r="D74">
        <v>24.7</v>
      </c>
      <c r="E74">
        <v>33.4</v>
      </c>
      <c r="F74">
        <v>45.4</v>
      </c>
      <c r="G74">
        <v>56.7</v>
      </c>
      <c r="H74">
        <v>65.8</v>
      </c>
      <c r="I74">
        <v>71.099999999999994</v>
      </c>
      <c r="J74">
        <v>69.5</v>
      </c>
      <c r="K74">
        <v>61.4</v>
      </c>
      <c r="L74">
        <v>49.3</v>
      </c>
      <c r="M74">
        <v>38.6</v>
      </c>
      <c r="N74">
        <v>28.3</v>
      </c>
    </row>
    <row r="75" spans="1:14" x14ac:dyDescent="0.2">
      <c r="A75" t="s">
        <v>700</v>
      </c>
      <c r="B75" t="s">
        <v>699</v>
      </c>
      <c r="C75">
        <v>25.6</v>
      </c>
      <c r="D75">
        <v>28.2</v>
      </c>
      <c r="E75">
        <v>36.5</v>
      </c>
      <c r="F75">
        <v>48.2</v>
      </c>
      <c r="G75">
        <v>58.9</v>
      </c>
      <c r="H75">
        <v>68.099999999999994</v>
      </c>
      <c r="I75">
        <v>73.8</v>
      </c>
      <c r="J75">
        <v>72.2</v>
      </c>
      <c r="K75">
        <v>64.3</v>
      </c>
      <c r="L75">
        <v>52.2</v>
      </c>
      <c r="M75">
        <v>41.5</v>
      </c>
      <c r="N75">
        <v>31.4</v>
      </c>
    </row>
    <row r="76" spans="1:14" x14ac:dyDescent="0.2">
      <c r="A76" t="s">
        <v>704</v>
      </c>
      <c r="B76" t="s">
        <v>703</v>
      </c>
      <c r="C76">
        <v>32</v>
      </c>
      <c r="D76">
        <v>34.299999999999997</v>
      </c>
      <c r="E76">
        <v>41.7</v>
      </c>
      <c r="F76">
        <v>52.5</v>
      </c>
      <c r="G76">
        <v>62</v>
      </c>
      <c r="H76">
        <v>71</v>
      </c>
      <c r="I76">
        <v>76.3</v>
      </c>
      <c r="J76">
        <v>74.400000000000006</v>
      </c>
      <c r="K76">
        <v>67.400000000000006</v>
      </c>
      <c r="L76">
        <v>55.7</v>
      </c>
      <c r="M76">
        <v>45.4</v>
      </c>
      <c r="N76">
        <v>36.799999999999997</v>
      </c>
    </row>
    <row r="77" spans="1:14" x14ac:dyDescent="0.2">
      <c r="A77" t="s">
        <v>648</v>
      </c>
      <c r="B77" t="s">
        <v>649</v>
      </c>
      <c r="C77">
        <v>37.4</v>
      </c>
      <c r="D77">
        <v>41.9</v>
      </c>
      <c r="E77">
        <v>49.5</v>
      </c>
      <c r="F77">
        <v>56.8</v>
      </c>
      <c r="G77">
        <v>66.099999999999994</v>
      </c>
      <c r="H77">
        <v>76.099999999999994</v>
      </c>
      <c r="I77">
        <v>78.900000000000006</v>
      </c>
      <c r="J77">
        <v>76.900000000000006</v>
      </c>
      <c r="K77">
        <v>70.3</v>
      </c>
      <c r="L77">
        <v>58.4</v>
      </c>
      <c r="M77">
        <v>45.7</v>
      </c>
      <c r="N77">
        <v>36.9</v>
      </c>
    </row>
    <row r="78" spans="1:14" x14ac:dyDescent="0.2">
      <c r="A78" t="s">
        <v>726</v>
      </c>
      <c r="B78" t="s">
        <v>649</v>
      </c>
      <c r="C78">
        <v>30.4</v>
      </c>
      <c r="D78">
        <v>34.700000000000003</v>
      </c>
      <c r="E78">
        <v>41.5</v>
      </c>
      <c r="F78">
        <v>48.3</v>
      </c>
      <c r="G78">
        <v>57.3</v>
      </c>
      <c r="H78">
        <v>67.099999999999994</v>
      </c>
      <c r="I78">
        <v>70.5</v>
      </c>
      <c r="J78">
        <v>68.599999999999994</v>
      </c>
      <c r="K78">
        <v>62.1</v>
      </c>
      <c r="L78">
        <v>50.8</v>
      </c>
      <c r="M78">
        <v>38.700000000000003</v>
      </c>
      <c r="N78">
        <v>30.1</v>
      </c>
    </row>
    <row r="79" spans="1:14" x14ac:dyDescent="0.2">
      <c r="A79" t="s">
        <v>970</v>
      </c>
      <c r="B79" t="s">
        <v>649</v>
      </c>
      <c r="C79">
        <v>27.1</v>
      </c>
      <c r="D79">
        <v>32.9</v>
      </c>
      <c r="E79">
        <v>40.200000000000003</v>
      </c>
      <c r="F79">
        <v>46.8</v>
      </c>
      <c r="G79">
        <v>55</v>
      </c>
      <c r="H79">
        <v>65.5</v>
      </c>
      <c r="I79">
        <v>69.599999999999994</v>
      </c>
      <c r="J79">
        <v>67.7</v>
      </c>
      <c r="K79">
        <v>61.4</v>
      </c>
      <c r="L79">
        <v>49.7</v>
      </c>
      <c r="M79">
        <v>37.799999999999997</v>
      </c>
      <c r="N79">
        <v>28</v>
      </c>
    </row>
    <row r="80" spans="1:14" x14ac:dyDescent="0.2">
      <c r="A80" t="s">
        <v>729</v>
      </c>
      <c r="B80" t="s">
        <v>618</v>
      </c>
      <c r="C80">
        <v>34.799999999999997</v>
      </c>
      <c r="D80">
        <v>38.299999999999997</v>
      </c>
      <c r="E80">
        <v>43.9</v>
      </c>
      <c r="F80">
        <v>48.8</v>
      </c>
      <c r="G80">
        <v>56.6</v>
      </c>
      <c r="H80">
        <v>65</v>
      </c>
      <c r="I80">
        <v>72.099999999999994</v>
      </c>
      <c r="J80">
        <v>70.2</v>
      </c>
      <c r="K80">
        <v>63.1</v>
      </c>
      <c r="L80">
        <v>52.2</v>
      </c>
      <c r="M80">
        <v>41.4</v>
      </c>
      <c r="N80">
        <v>34.200000000000003</v>
      </c>
    </row>
    <row r="81" spans="1:14" x14ac:dyDescent="0.2">
      <c r="A81" t="s">
        <v>578</v>
      </c>
      <c r="B81" t="s">
        <v>618</v>
      </c>
      <c r="C81">
        <v>49.5</v>
      </c>
      <c r="D81">
        <v>53.5</v>
      </c>
      <c r="E81">
        <v>60.8</v>
      </c>
      <c r="F81">
        <v>67.7</v>
      </c>
      <c r="G81">
        <v>77.3</v>
      </c>
      <c r="H81">
        <v>87.6</v>
      </c>
      <c r="I81">
        <v>93.2</v>
      </c>
      <c r="J81">
        <v>91.7</v>
      </c>
      <c r="K81">
        <v>83.6</v>
      </c>
      <c r="L81">
        <v>70.400000000000006</v>
      </c>
      <c r="M81">
        <v>57.2</v>
      </c>
      <c r="N81">
        <v>48.2</v>
      </c>
    </row>
    <row r="82" spans="1:14" x14ac:dyDescent="0.2">
      <c r="A82" t="s">
        <v>652</v>
      </c>
      <c r="B82" t="s">
        <v>588</v>
      </c>
      <c r="C82">
        <v>24.4</v>
      </c>
      <c r="D82">
        <v>26.8</v>
      </c>
      <c r="E82">
        <v>35.700000000000003</v>
      </c>
      <c r="F82">
        <v>48.1</v>
      </c>
      <c r="G82">
        <v>59.6</v>
      </c>
      <c r="H82">
        <v>68.400000000000006</v>
      </c>
      <c r="I82">
        <v>73.099999999999994</v>
      </c>
      <c r="J82">
        <v>71.400000000000006</v>
      </c>
      <c r="K82">
        <v>63.5</v>
      </c>
      <c r="L82">
        <v>51.4</v>
      </c>
      <c r="M82">
        <v>40.5</v>
      </c>
      <c r="N82">
        <v>30.4</v>
      </c>
    </row>
    <row r="83" spans="1:14" x14ac:dyDescent="0.2">
      <c r="A83" t="s">
        <v>633</v>
      </c>
      <c r="B83" t="s">
        <v>588</v>
      </c>
      <c r="C83">
        <v>25.5</v>
      </c>
      <c r="D83">
        <v>26.4</v>
      </c>
      <c r="E83">
        <v>34.1</v>
      </c>
      <c r="F83">
        <v>45.6</v>
      </c>
      <c r="G83">
        <v>57.9</v>
      </c>
      <c r="H83">
        <v>66.900000000000006</v>
      </c>
      <c r="I83">
        <v>71.7</v>
      </c>
      <c r="J83">
        <v>70.400000000000006</v>
      </c>
      <c r="K83">
        <v>63.4</v>
      </c>
      <c r="L83">
        <v>51.7</v>
      </c>
      <c r="M83">
        <v>41</v>
      </c>
      <c r="N83">
        <v>31.4</v>
      </c>
    </row>
    <row r="84" spans="1:14" x14ac:dyDescent="0.2">
      <c r="A84" t="s">
        <v>550</v>
      </c>
      <c r="B84" t="s">
        <v>588</v>
      </c>
      <c r="C84">
        <v>33.700000000000003</v>
      </c>
      <c r="D84">
        <v>35.9</v>
      </c>
      <c r="E84">
        <v>42.8</v>
      </c>
      <c r="F84">
        <v>53.7</v>
      </c>
      <c r="G84">
        <v>63.2</v>
      </c>
      <c r="H84">
        <v>72</v>
      </c>
      <c r="I84">
        <v>77.5</v>
      </c>
      <c r="J84">
        <v>76.099999999999994</v>
      </c>
      <c r="K84">
        <v>69.2</v>
      </c>
      <c r="L84">
        <v>57.9</v>
      </c>
      <c r="M84">
        <v>48</v>
      </c>
      <c r="N84">
        <v>39.1</v>
      </c>
    </row>
    <row r="85" spans="1:14" x14ac:dyDescent="0.2">
      <c r="A85" t="s">
        <v>636</v>
      </c>
      <c r="B85" t="s">
        <v>588</v>
      </c>
      <c r="C85">
        <v>26.2</v>
      </c>
      <c r="D85">
        <v>27.4</v>
      </c>
      <c r="E85">
        <v>35.200000000000003</v>
      </c>
      <c r="F85">
        <v>46.8</v>
      </c>
      <c r="G85">
        <v>58.8</v>
      </c>
      <c r="H85">
        <v>67.599999999999994</v>
      </c>
      <c r="I85">
        <v>72.3</v>
      </c>
      <c r="J85">
        <v>70.7</v>
      </c>
      <c r="K85">
        <v>63.6</v>
      </c>
      <c r="L85">
        <v>52.2</v>
      </c>
      <c r="M85">
        <v>41.5</v>
      </c>
      <c r="N85">
        <v>32</v>
      </c>
    </row>
    <row r="86" spans="1:14" x14ac:dyDescent="0.2">
      <c r="A86" t="s">
        <v>579</v>
      </c>
      <c r="B86" t="s">
        <v>619</v>
      </c>
      <c r="C86">
        <v>31.4</v>
      </c>
      <c r="D86">
        <v>34.700000000000003</v>
      </c>
      <c r="E86">
        <v>43.6</v>
      </c>
      <c r="F86">
        <v>54.6</v>
      </c>
      <c r="G86">
        <v>64.099999999999994</v>
      </c>
      <c r="H86">
        <v>72.3</v>
      </c>
      <c r="I86">
        <v>75.900000000000006</v>
      </c>
      <c r="J86">
        <v>74.900000000000006</v>
      </c>
      <c r="K86">
        <v>68.099999999999994</v>
      </c>
      <c r="L86">
        <v>56.2</v>
      </c>
      <c r="M86">
        <v>44.4</v>
      </c>
      <c r="N86">
        <v>35.6</v>
      </c>
    </row>
    <row r="87" spans="1:14" x14ac:dyDescent="0.2">
      <c r="A87" t="s">
        <v>583</v>
      </c>
      <c r="B87" t="s">
        <v>619</v>
      </c>
      <c r="C87">
        <v>29.1</v>
      </c>
      <c r="D87">
        <v>31.1</v>
      </c>
      <c r="E87">
        <v>38.9</v>
      </c>
      <c r="F87">
        <v>50.4</v>
      </c>
      <c r="G87">
        <v>61.2</v>
      </c>
      <c r="H87">
        <v>70.400000000000006</v>
      </c>
      <c r="I87">
        <v>74.5</v>
      </c>
      <c r="J87">
        <v>73</v>
      </c>
      <c r="K87">
        <v>66.400000000000006</v>
      </c>
      <c r="L87">
        <v>55.1</v>
      </c>
      <c r="M87">
        <v>44</v>
      </c>
      <c r="N87">
        <v>34.299999999999997</v>
      </c>
    </row>
    <row r="88" spans="1:14" x14ac:dyDescent="0.2">
      <c r="A88" t="s">
        <v>581</v>
      </c>
      <c r="B88" t="s">
        <v>619</v>
      </c>
      <c r="C88">
        <v>29.6</v>
      </c>
      <c r="D88">
        <v>32.5</v>
      </c>
      <c r="E88">
        <v>41.6</v>
      </c>
      <c r="F88">
        <v>53.2</v>
      </c>
      <c r="G88">
        <v>63.3</v>
      </c>
      <c r="H88">
        <v>71.900000000000006</v>
      </c>
      <c r="I88">
        <v>75.400000000000006</v>
      </c>
      <c r="J88">
        <v>74</v>
      </c>
      <c r="K88">
        <v>67.2</v>
      </c>
      <c r="L88">
        <v>55.2</v>
      </c>
      <c r="M88">
        <v>43.6</v>
      </c>
      <c r="N88">
        <v>34.5</v>
      </c>
    </row>
    <row r="89" spans="1:14" x14ac:dyDescent="0.2">
      <c r="A89" t="s">
        <v>597</v>
      </c>
      <c r="B89" t="s">
        <v>625</v>
      </c>
      <c r="C89">
        <v>38.200000000000003</v>
      </c>
      <c r="D89">
        <v>42.3</v>
      </c>
      <c r="E89">
        <v>51.2</v>
      </c>
      <c r="F89">
        <v>59.3</v>
      </c>
      <c r="G89">
        <v>68.2</v>
      </c>
      <c r="H89">
        <v>76.900000000000006</v>
      </c>
      <c r="I89">
        <v>81.7</v>
      </c>
      <c r="J89">
        <v>80.7</v>
      </c>
      <c r="K89">
        <v>72.7</v>
      </c>
      <c r="L89">
        <v>61.1</v>
      </c>
      <c r="M89">
        <v>49.2</v>
      </c>
      <c r="N89">
        <v>40</v>
      </c>
    </row>
    <row r="90" spans="1:14" x14ac:dyDescent="0.2">
      <c r="A90" t="s">
        <v>635</v>
      </c>
      <c r="B90" t="s">
        <v>625</v>
      </c>
      <c r="C90">
        <v>38.5</v>
      </c>
      <c r="D90">
        <v>42.8</v>
      </c>
      <c r="E90">
        <v>52</v>
      </c>
      <c r="F90">
        <v>60.8</v>
      </c>
      <c r="G90">
        <v>69.599999999999994</v>
      </c>
      <c r="H90">
        <v>78.599999999999994</v>
      </c>
      <c r="I90">
        <v>83.4</v>
      </c>
      <c r="J90">
        <v>82.2</v>
      </c>
      <c r="K90">
        <v>73.8</v>
      </c>
      <c r="L90">
        <v>62.3</v>
      </c>
      <c r="M90">
        <v>50.4</v>
      </c>
      <c r="N90">
        <v>41</v>
      </c>
    </row>
    <row r="91" spans="1:14" x14ac:dyDescent="0.2">
      <c r="A91" t="s">
        <v>860</v>
      </c>
      <c r="B91" t="s">
        <v>617</v>
      </c>
      <c r="C91" s="5">
        <v>41.5</v>
      </c>
      <c r="D91" s="5">
        <v>44.8</v>
      </c>
      <c r="E91" s="5">
        <v>48.2</v>
      </c>
      <c r="F91" s="5">
        <v>52.6</v>
      </c>
      <c r="G91" s="5">
        <v>59.9</v>
      </c>
      <c r="H91" s="5">
        <v>65.900000000000006</v>
      </c>
      <c r="I91" s="5">
        <v>73.400000000000006</v>
      </c>
      <c r="J91" s="5">
        <v>72.7</v>
      </c>
      <c r="K91" s="5">
        <v>66.099999999999994</v>
      </c>
      <c r="L91" s="5">
        <v>55.5</v>
      </c>
      <c r="M91" s="5">
        <v>46.1</v>
      </c>
      <c r="N91" s="5">
        <v>40.4</v>
      </c>
    </row>
    <row r="92" spans="1:14" x14ac:dyDescent="0.2">
      <c r="A92" t="s">
        <v>575</v>
      </c>
      <c r="B92" t="s">
        <v>617</v>
      </c>
      <c r="C92">
        <v>41.9</v>
      </c>
      <c r="D92">
        <v>44.1</v>
      </c>
      <c r="E92">
        <v>48.3</v>
      </c>
      <c r="F92">
        <v>52.8</v>
      </c>
      <c r="G92">
        <v>59.4</v>
      </c>
      <c r="H92">
        <v>64.2</v>
      </c>
      <c r="I92">
        <v>70.2</v>
      </c>
      <c r="J92">
        <v>70.599999999999994</v>
      </c>
      <c r="K92">
        <v>65.400000000000006</v>
      </c>
      <c r="L92">
        <v>55.6</v>
      </c>
      <c r="M92">
        <v>47.1</v>
      </c>
      <c r="N92">
        <v>41.6</v>
      </c>
    </row>
    <row r="93" spans="1:14" x14ac:dyDescent="0.2">
      <c r="A93" t="s">
        <v>710</v>
      </c>
      <c r="B93" t="s">
        <v>617</v>
      </c>
      <c r="C93">
        <v>42.1</v>
      </c>
      <c r="D93">
        <v>44</v>
      </c>
      <c r="E93">
        <v>47.5</v>
      </c>
      <c r="F93">
        <v>51.3</v>
      </c>
      <c r="G93">
        <v>57.7</v>
      </c>
      <c r="H93">
        <v>62.7</v>
      </c>
      <c r="I93">
        <v>69.3</v>
      </c>
      <c r="J93">
        <v>69.2</v>
      </c>
      <c r="K93">
        <v>64</v>
      </c>
      <c r="L93">
        <v>54.3</v>
      </c>
      <c r="M93">
        <v>46.3</v>
      </c>
      <c r="N93">
        <v>41.3</v>
      </c>
    </row>
    <row r="94" spans="1:14" x14ac:dyDescent="0.2">
      <c r="A94" t="s">
        <v>682</v>
      </c>
      <c r="B94" t="s">
        <v>604</v>
      </c>
      <c r="C94">
        <v>30.8</v>
      </c>
      <c r="D94">
        <v>33.4</v>
      </c>
      <c r="E94">
        <v>41.8</v>
      </c>
      <c r="F94">
        <v>53.2</v>
      </c>
      <c r="G94">
        <v>63.4</v>
      </c>
      <c r="H94">
        <v>72.5</v>
      </c>
      <c r="I94">
        <v>77.3</v>
      </c>
      <c r="J94">
        <v>75.2</v>
      </c>
      <c r="K94">
        <v>67.900000000000006</v>
      </c>
      <c r="L94">
        <v>55.8</v>
      </c>
      <c r="M94">
        <v>44.8</v>
      </c>
      <c r="N94">
        <v>35.799999999999997</v>
      </c>
    </row>
    <row r="95" spans="1:14" x14ac:dyDescent="0.2">
      <c r="A95" t="s">
        <v>558</v>
      </c>
      <c r="B95" t="s">
        <v>604</v>
      </c>
      <c r="C95">
        <v>33.700000000000003</v>
      </c>
      <c r="D95">
        <v>35.9</v>
      </c>
      <c r="E95">
        <v>43.6</v>
      </c>
      <c r="F95">
        <v>54.5</v>
      </c>
      <c r="G95">
        <v>64.3</v>
      </c>
      <c r="H95">
        <v>73.5</v>
      </c>
      <c r="I95">
        <v>78.7</v>
      </c>
      <c r="J95">
        <v>76.8</v>
      </c>
      <c r="K95">
        <v>69.900000000000006</v>
      </c>
      <c r="L95">
        <v>58.2</v>
      </c>
      <c r="M95">
        <v>47.4</v>
      </c>
      <c r="N95">
        <v>38.6</v>
      </c>
    </row>
    <row r="96" spans="1:14" x14ac:dyDescent="0.2">
      <c r="A96" t="s">
        <v>577</v>
      </c>
      <c r="B96" t="s">
        <v>604</v>
      </c>
      <c r="C96">
        <v>28.8</v>
      </c>
      <c r="D96">
        <v>31.4</v>
      </c>
      <c r="E96">
        <v>39.700000000000003</v>
      </c>
      <c r="F96">
        <v>51.5</v>
      </c>
      <c r="G96">
        <v>61.2</v>
      </c>
      <c r="H96">
        <v>69.400000000000006</v>
      </c>
      <c r="I96">
        <v>73.2</v>
      </c>
      <c r="J96">
        <v>71.8</v>
      </c>
      <c r="K96">
        <v>64.900000000000006</v>
      </c>
      <c r="L96">
        <v>53.4</v>
      </c>
      <c r="M96">
        <v>42.6</v>
      </c>
      <c r="N96">
        <v>33.700000000000003</v>
      </c>
    </row>
    <row r="97" spans="1:14" x14ac:dyDescent="0.2">
      <c r="A97" t="s">
        <v>733</v>
      </c>
      <c r="B97" t="s">
        <v>734</v>
      </c>
      <c r="C97">
        <v>77.599999999999994</v>
      </c>
      <c r="D97">
        <v>77.8</v>
      </c>
      <c r="E97">
        <v>78.599999999999994</v>
      </c>
      <c r="F97">
        <v>80.099999999999994</v>
      </c>
      <c r="G97">
        <v>81.599999999999994</v>
      </c>
      <c r="H97">
        <v>83.1</v>
      </c>
      <c r="I97">
        <v>83.1</v>
      </c>
      <c r="J97">
        <v>83.5</v>
      </c>
      <c r="K97">
        <v>83.4</v>
      </c>
      <c r="L97">
        <v>82.7</v>
      </c>
      <c r="M97">
        <v>80.5</v>
      </c>
      <c r="N97">
        <v>78.8</v>
      </c>
    </row>
    <row r="98" spans="1:14" x14ac:dyDescent="0.2">
      <c r="A98" t="s">
        <v>594</v>
      </c>
      <c r="B98" t="s">
        <v>623</v>
      </c>
      <c r="C98">
        <v>30.2</v>
      </c>
      <c r="D98">
        <v>32</v>
      </c>
      <c r="E98">
        <v>38.9</v>
      </c>
      <c r="F98">
        <v>49.3</v>
      </c>
      <c r="G98">
        <v>59.1</v>
      </c>
      <c r="H98">
        <v>68.2</v>
      </c>
      <c r="I98">
        <v>74.400000000000006</v>
      </c>
      <c r="J98">
        <v>73</v>
      </c>
      <c r="K98">
        <v>65.599999999999994</v>
      </c>
      <c r="L98">
        <v>54.4</v>
      </c>
      <c r="M98">
        <v>44.5</v>
      </c>
      <c r="N98">
        <v>35.5</v>
      </c>
    </row>
    <row r="99" spans="1:14" x14ac:dyDescent="0.2">
      <c r="A99" t="s">
        <v>658</v>
      </c>
      <c r="B99" t="s">
        <v>642</v>
      </c>
      <c r="C99">
        <v>49.5</v>
      </c>
      <c r="D99">
        <v>52.7</v>
      </c>
      <c r="E99">
        <v>58.7</v>
      </c>
      <c r="F99">
        <v>65.8</v>
      </c>
      <c r="G99">
        <v>73.3</v>
      </c>
      <c r="H99">
        <v>79.400000000000006</v>
      </c>
      <c r="I99">
        <v>82.5</v>
      </c>
      <c r="J99">
        <v>81.400000000000006</v>
      </c>
      <c r="K99">
        <v>76.900000000000006</v>
      </c>
      <c r="L99">
        <v>67.8</v>
      </c>
      <c r="M99">
        <v>58.3</v>
      </c>
      <c r="N99">
        <v>52.2</v>
      </c>
    </row>
    <row r="100" spans="1:14" x14ac:dyDescent="0.2">
      <c r="A100" t="s">
        <v>657</v>
      </c>
      <c r="B100" t="s">
        <v>642</v>
      </c>
      <c r="C100">
        <v>45.7</v>
      </c>
      <c r="D100">
        <v>49.1</v>
      </c>
      <c r="E100">
        <v>55.9</v>
      </c>
      <c r="F100">
        <v>64.099999999999994</v>
      </c>
      <c r="G100">
        <v>72.2</v>
      </c>
      <c r="H100">
        <v>79.099999999999994</v>
      </c>
      <c r="I100">
        <v>82.4</v>
      </c>
      <c r="J100">
        <v>81</v>
      </c>
      <c r="K100">
        <v>75.5</v>
      </c>
      <c r="L100">
        <v>64.599999999999994</v>
      </c>
      <c r="M100">
        <v>54</v>
      </c>
      <c r="N100">
        <v>47.7</v>
      </c>
    </row>
    <row r="101" spans="1:14" x14ac:dyDescent="0.2">
      <c r="A101" t="s">
        <v>641</v>
      </c>
      <c r="B101" t="s">
        <v>642</v>
      </c>
      <c r="C101" s="5">
        <v>42.5</v>
      </c>
      <c r="D101" s="5">
        <v>45.9</v>
      </c>
      <c r="E101" s="5">
        <v>52.8</v>
      </c>
      <c r="F101" s="5">
        <v>61</v>
      </c>
      <c r="G101" s="5">
        <v>68.900000000000006</v>
      </c>
      <c r="H101" s="5">
        <v>76.3</v>
      </c>
      <c r="I101" s="5">
        <v>79.7</v>
      </c>
      <c r="J101" s="5">
        <v>78.400000000000006</v>
      </c>
      <c r="K101" s="5">
        <v>72.5</v>
      </c>
      <c r="L101" s="5">
        <v>61.7</v>
      </c>
      <c r="M101" s="5">
        <v>51.6</v>
      </c>
      <c r="N101" s="5">
        <v>44.8</v>
      </c>
    </row>
    <row r="102" spans="1:14" x14ac:dyDescent="0.2">
      <c r="A102" t="s">
        <v>748</v>
      </c>
      <c r="B102" t="s">
        <v>712</v>
      </c>
      <c r="C102">
        <v>19.100000000000001</v>
      </c>
      <c r="D102">
        <v>23.2</v>
      </c>
      <c r="E102">
        <v>34.299999999999997</v>
      </c>
      <c r="F102">
        <v>45.9</v>
      </c>
      <c r="G102">
        <v>57.2</v>
      </c>
      <c r="H102">
        <v>67.8</v>
      </c>
      <c r="I102">
        <v>74.900000000000006</v>
      </c>
      <c r="J102">
        <v>73</v>
      </c>
      <c r="K102">
        <v>63.6</v>
      </c>
      <c r="L102">
        <v>48.5</v>
      </c>
      <c r="M102">
        <v>34.1</v>
      </c>
      <c r="N102">
        <v>22.8</v>
      </c>
    </row>
    <row r="103" spans="1:14" x14ac:dyDescent="0.2">
      <c r="A103" t="s">
        <v>858</v>
      </c>
      <c r="B103" t="s">
        <v>712</v>
      </c>
      <c r="C103">
        <v>26.4</v>
      </c>
      <c r="D103">
        <v>27.9</v>
      </c>
      <c r="E103">
        <v>36.5</v>
      </c>
      <c r="F103">
        <v>44.5</v>
      </c>
      <c r="G103">
        <v>54.9</v>
      </c>
      <c r="H103">
        <v>65.400000000000006</v>
      </c>
      <c r="I103">
        <v>73</v>
      </c>
      <c r="J103">
        <v>71.599999999999994</v>
      </c>
      <c r="K103">
        <v>62.4</v>
      </c>
      <c r="L103">
        <v>48.3</v>
      </c>
      <c r="M103">
        <v>36.799999999999997</v>
      </c>
      <c r="N103">
        <v>28.1</v>
      </c>
    </row>
    <row r="104" spans="1:14" x14ac:dyDescent="0.2">
      <c r="A104" t="s">
        <v>713</v>
      </c>
      <c r="B104" t="s">
        <v>712</v>
      </c>
      <c r="C104">
        <v>17.899999999999999</v>
      </c>
      <c r="D104">
        <v>22.3</v>
      </c>
      <c r="E104">
        <v>34.700000000000003</v>
      </c>
      <c r="F104">
        <v>47.2</v>
      </c>
      <c r="G104">
        <v>59.1</v>
      </c>
      <c r="H104">
        <v>69.900000000000006</v>
      </c>
      <c r="I104">
        <v>74.400000000000006</v>
      </c>
      <c r="J104">
        <v>72</v>
      </c>
      <c r="K104">
        <v>63.8</v>
      </c>
      <c r="L104">
        <v>49.6</v>
      </c>
      <c r="M104">
        <v>34.799999999999997</v>
      </c>
      <c r="N104">
        <v>22.5</v>
      </c>
    </row>
    <row r="105" spans="1:14" x14ac:dyDescent="0.2">
      <c r="A105" t="s">
        <v>646</v>
      </c>
      <c r="B105" t="s">
        <v>621</v>
      </c>
      <c r="C105">
        <v>39.1</v>
      </c>
      <c r="D105">
        <v>42.9</v>
      </c>
      <c r="E105">
        <v>50.6</v>
      </c>
      <c r="F105">
        <v>59.6</v>
      </c>
      <c r="G105">
        <v>67.900000000000006</v>
      </c>
      <c r="H105">
        <v>75.3</v>
      </c>
      <c r="I105">
        <v>78.5</v>
      </c>
      <c r="J105">
        <v>77.599999999999994</v>
      </c>
      <c r="K105">
        <v>71.8</v>
      </c>
      <c r="L105">
        <v>60.3</v>
      </c>
      <c r="M105">
        <v>49</v>
      </c>
      <c r="N105">
        <v>41.9</v>
      </c>
    </row>
    <row r="106" spans="1:14" x14ac:dyDescent="0.2">
      <c r="A106" t="s">
        <v>600</v>
      </c>
      <c r="B106" t="s">
        <v>621</v>
      </c>
      <c r="C106">
        <v>42.1</v>
      </c>
      <c r="D106">
        <v>46.1</v>
      </c>
      <c r="E106">
        <v>54.2</v>
      </c>
      <c r="F106">
        <v>63.2</v>
      </c>
      <c r="G106">
        <v>72.099999999999994</v>
      </c>
      <c r="H106">
        <v>79.900000000000006</v>
      </c>
      <c r="I106">
        <v>82.8</v>
      </c>
      <c r="J106">
        <v>82.1</v>
      </c>
      <c r="K106">
        <v>76</v>
      </c>
      <c r="L106">
        <v>64.599999999999994</v>
      </c>
      <c r="M106">
        <v>52.7</v>
      </c>
      <c r="N106">
        <v>44.8</v>
      </c>
    </row>
    <row r="107" spans="1:14" x14ac:dyDescent="0.2">
      <c r="A107" t="s">
        <v>584</v>
      </c>
      <c r="B107" t="s">
        <v>621</v>
      </c>
      <c r="C107">
        <v>39.6</v>
      </c>
      <c r="D107">
        <v>43.4</v>
      </c>
      <c r="E107">
        <v>51.5</v>
      </c>
      <c r="F107">
        <v>60.8</v>
      </c>
      <c r="G107">
        <v>69.3</v>
      </c>
      <c r="H107">
        <v>77.099999999999994</v>
      </c>
      <c r="I107">
        <v>80.7</v>
      </c>
      <c r="J107">
        <v>79.7</v>
      </c>
      <c r="K107">
        <v>73.099999999999994</v>
      </c>
      <c r="L107">
        <v>61.7</v>
      </c>
      <c r="M107">
        <v>50.3</v>
      </c>
      <c r="N107">
        <v>42.7</v>
      </c>
    </row>
    <row r="108" spans="1:14" x14ac:dyDescent="0.2">
      <c r="A108" t="s">
        <v>574</v>
      </c>
      <c r="B108" t="s">
        <v>607</v>
      </c>
      <c r="C108">
        <v>52.2</v>
      </c>
      <c r="D108">
        <v>56.1</v>
      </c>
      <c r="E108">
        <v>62.8</v>
      </c>
      <c r="F108">
        <v>69.599999999999994</v>
      </c>
      <c r="G108">
        <v>76.8</v>
      </c>
      <c r="H108">
        <v>83</v>
      </c>
      <c r="I108">
        <v>85.8</v>
      </c>
      <c r="J108">
        <v>86.5</v>
      </c>
      <c r="K108">
        <v>80.8</v>
      </c>
      <c r="L108">
        <v>71.599999999999994</v>
      </c>
      <c r="M108">
        <v>61</v>
      </c>
      <c r="N108">
        <v>53.6</v>
      </c>
    </row>
    <row r="109" spans="1:14" x14ac:dyDescent="0.2">
      <c r="A109" t="s">
        <v>553</v>
      </c>
      <c r="B109" t="s">
        <v>607</v>
      </c>
      <c r="C109">
        <v>47.8</v>
      </c>
      <c r="D109">
        <v>52</v>
      </c>
      <c r="E109">
        <v>59.6</v>
      </c>
      <c r="F109">
        <v>67.099999999999994</v>
      </c>
      <c r="G109">
        <v>75.400000000000006</v>
      </c>
      <c r="H109">
        <v>83.3</v>
      </c>
      <c r="I109">
        <v>87.3</v>
      </c>
      <c r="J109">
        <v>87.3</v>
      </c>
      <c r="K109">
        <v>80.099999999999994</v>
      </c>
      <c r="L109">
        <v>69.099999999999994</v>
      </c>
      <c r="M109">
        <v>57.8</v>
      </c>
      <c r="N109">
        <v>49.5</v>
      </c>
    </row>
    <row r="110" spans="1:14" x14ac:dyDescent="0.2">
      <c r="A110" t="s">
        <v>656</v>
      </c>
      <c r="B110" t="s">
        <v>607</v>
      </c>
      <c r="C110" s="5">
        <v>46.5</v>
      </c>
      <c r="D110" s="5">
        <v>51.5</v>
      </c>
      <c r="E110" s="5">
        <v>58.7</v>
      </c>
      <c r="F110" s="5">
        <v>66.599999999999994</v>
      </c>
      <c r="G110" s="5">
        <v>75.400000000000006</v>
      </c>
      <c r="H110" s="5">
        <v>83.9</v>
      </c>
      <c r="I110" s="5">
        <v>84.4</v>
      </c>
      <c r="J110" s="5">
        <v>82.9</v>
      </c>
      <c r="K110" s="5">
        <v>76.900000000000006</v>
      </c>
      <c r="L110" s="5">
        <v>66.7</v>
      </c>
      <c r="M110" s="5">
        <v>54.5</v>
      </c>
      <c r="N110" s="5">
        <v>46.1</v>
      </c>
    </row>
    <row r="111" spans="1:14" x14ac:dyDescent="0.2">
      <c r="A111" t="s">
        <v>554</v>
      </c>
      <c r="B111" t="s">
        <v>607</v>
      </c>
      <c r="C111">
        <v>53.8</v>
      </c>
      <c r="D111">
        <v>57.7</v>
      </c>
      <c r="E111">
        <v>63.8</v>
      </c>
      <c r="F111">
        <v>70</v>
      </c>
      <c r="G111">
        <v>77.400000000000006</v>
      </c>
      <c r="H111">
        <v>83</v>
      </c>
      <c r="I111">
        <v>85.1</v>
      </c>
      <c r="J111">
        <v>85.2</v>
      </c>
      <c r="K111">
        <v>80.5</v>
      </c>
      <c r="L111">
        <v>71.8</v>
      </c>
      <c r="M111">
        <v>62</v>
      </c>
      <c r="N111">
        <v>55.4</v>
      </c>
    </row>
    <row r="112" spans="1:14" x14ac:dyDescent="0.2">
      <c r="A112" t="s">
        <v>573</v>
      </c>
      <c r="B112" t="s">
        <v>607</v>
      </c>
      <c r="C112">
        <v>52.2</v>
      </c>
      <c r="D112">
        <v>56.3</v>
      </c>
      <c r="E112">
        <v>62.8</v>
      </c>
      <c r="F112">
        <v>69.400000000000006</v>
      </c>
      <c r="G112">
        <v>76.5</v>
      </c>
      <c r="H112">
        <v>82.6</v>
      </c>
      <c r="I112">
        <v>84.8</v>
      </c>
      <c r="J112">
        <v>85.5</v>
      </c>
      <c r="K112">
        <v>79.900000000000006</v>
      </c>
      <c r="L112">
        <v>71.3</v>
      </c>
      <c r="M112">
        <v>60.7</v>
      </c>
      <c r="N112">
        <v>53.5</v>
      </c>
    </row>
    <row r="113" spans="1:14" x14ac:dyDescent="0.2">
      <c r="A113" t="s">
        <v>668</v>
      </c>
      <c r="B113" t="s">
        <v>627</v>
      </c>
      <c r="C113">
        <v>32.299999999999997</v>
      </c>
      <c r="D113">
        <v>37.4</v>
      </c>
      <c r="E113">
        <v>46.3</v>
      </c>
      <c r="F113">
        <v>52.5</v>
      </c>
      <c r="G113">
        <v>61.4</v>
      </c>
      <c r="H113">
        <v>70.900000000000006</v>
      </c>
      <c r="I113">
        <v>78.599999999999994</v>
      </c>
      <c r="J113">
        <v>76.7</v>
      </c>
      <c r="K113">
        <v>67.3</v>
      </c>
      <c r="L113">
        <v>54.5</v>
      </c>
      <c r="M113">
        <v>42.2</v>
      </c>
      <c r="N113">
        <v>32.700000000000003</v>
      </c>
    </row>
    <row r="114" spans="1:14" x14ac:dyDescent="0.2">
      <c r="A114" t="s">
        <v>601</v>
      </c>
      <c r="B114" t="s">
        <v>627</v>
      </c>
      <c r="C114">
        <v>31.4</v>
      </c>
      <c r="D114">
        <v>36.6</v>
      </c>
      <c r="E114">
        <v>45.8</v>
      </c>
      <c r="F114">
        <v>51.8</v>
      </c>
      <c r="G114">
        <v>61.5</v>
      </c>
      <c r="H114">
        <v>71.599999999999994</v>
      </c>
      <c r="I114">
        <v>81.099999999999994</v>
      </c>
      <c r="J114">
        <v>79.099999999999994</v>
      </c>
      <c r="K114">
        <v>68.400000000000006</v>
      </c>
      <c r="L114">
        <v>54.6</v>
      </c>
      <c r="M114">
        <v>41.7</v>
      </c>
      <c r="N114">
        <v>32.200000000000003</v>
      </c>
    </row>
    <row r="115" spans="1:14" x14ac:dyDescent="0.2">
      <c r="A115" t="s">
        <v>857</v>
      </c>
      <c r="B115" t="s">
        <v>622</v>
      </c>
      <c r="C115">
        <v>36.200000000000003</v>
      </c>
      <c r="D115">
        <v>39.1</v>
      </c>
      <c r="E115">
        <v>46.4</v>
      </c>
      <c r="F115">
        <v>57.1</v>
      </c>
      <c r="G115">
        <v>65.400000000000006</v>
      </c>
      <c r="H115">
        <v>73.5</v>
      </c>
      <c r="I115">
        <v>77.599999999999994</v>
      </c>
      <c r="J115">
        <v>75.900000000000006</v>
      </c>
      <c r="K115">
        <v>69.400000000000006</v>
      </c>
      <c r="L115">
        <v>58.7</v>
      </c>
      <c r="M115">
        <v>48.5</v>
      </c>
      <c r="N115">
        <v>40</v>
      </c>
    </row>
    <row r="116" spans="1:14" x14ac:dyDescent="0.2">
      <c r="A116" t="s">
        <v>599</v>
      </c>
      <c r="B116" t="s">
        <v>622</v>
      </c>
      <c r="C116">
        <v>38.299999999999997</v>
      </c>
      <c r="D116">
        <v>41</v>
      </c>
      <c r="E116">
        <v>48.4</v>
      </c>
      <c r="F116">
        <v>58.4</v>
      </c>
      <c r="G116">
        <v>66.7</v>
      </c>
      <c r="H116">
        <v>75</v>
      </c>
      <c r="I116">
        <v>79.400000000000006</v>
      </c>
      <c r="J116">
        <v>77.5</v>
      </c>
      <c r="K116">
        <v>71.2</v>
      </c>
      <c r="L116">
        <v>60</v>
      </c>
      <c r="M116">
        <v>49.6</v>
      </c>
      <c r="N116">
        <v>41.8</v>
      </c>
    </row>
    <row r="117" spans="1:14" x14ac:dyDescent="0.2">
      <c r="A117" t="s">
        <v>592</v>
      </c>
      <c r="B117" t="s">
        <v>622</v>
      </c>
      <c r="C117">
        <v>42.2</v>
      </c>
      <c r="D117">
        <v>44.2</v>
      </c>
      <c r="E117">
        <v>50.7</v>
      </c>
      <c r="F117">
        <v>60.1</v>
      </c>
      <c r="G117">
        <v>68.3</v>
      </c>
      <c r="H117">
        <v>76.7</v>
      </c>
      <c r="I117">
        <v>81.099999999999994</v>
      </c>
      <c r="J117">
        <v>79.2</v>
      </c>
      <c r="K117">
        <v>74</v>
      </c>
      <c r="L117">
        <v>63.7</v>
      </c>
      <c r="M117">
        <v>53.3</v>
      </c>
      <c r="N117">
        <v>46.1</v>
      </c>
    </row>
    <row r="118" spans="1:14" x14ac:dyDescent="0.2">
      <c r="A118" t="s">
        <v>719</v>
      </c>
      <c r="B118" t="s">
        <v>718</v>
      </c>
      <c r="C118">
        <v>20.9</v>
      </c>
      <c r="D118">
        <v>22.9</v>
      </c>
      <c r="E118">
        <v>32.299999999999997</v>
      </c>
      <c r="F118">
        <v>45.6</v>
      </c>
      <c r="G118">
        <v>58.4</v>
      </c>
      <c r="H118">
        <v>67.5</v>
      </c>
      <c r="I118">
        <v>72.400000000000006</v>
      </c>
      <c r="J118">
        <v>70.7</v>
      </c>
      <c r="K118">
        <v>62.7</v>
      </c>
      <c r="L118">
        <v>50.3</v>
      </c>
      <c r="M118">
        <v>39.299999999999997</v>
      </c>
      <c r="N118">
        <v>28.2</v>
      </c>
    </row>
    <row r="119" spans="1:14" x14ac:dyDescent="0.2">
      <c r="A119" t="s">
        <v>751</v>
      </c>
      <c r="B119" t="s">
        <v>718</v>
      </c>
      <c r="C119">
        <v>16.600000000000001</v>
      </c>
      <c r="D119">
        <v>18.899999999999999</v>
      </c>
      <c r="E119">
        <v>27.9</v>
      </c>
      <c r="F119">
        <v>40.9</v>
      </c>
      <c r="G119">
        <v>53.3</v>
      </c>
      <c r="H119">
        <v>61.8</v>
      </c>
      <c r="I119">
        <v>66.5</v>
      </c>
      <c r="J119">
        <v>64.900000000000006</v>
      </c>
      <c r="K119">
        <v>57.4</v>
      </c>
      <c r="L119">
        <v>45.5</v>
      </c>
      <c r="M119">
        <v>34.4</v>
      </c>
      <c r="N119">
        <v>23.2</v>
      </c>
    </row>
    <row r="120" spans="1:14" x14ac:dyDescent="0.2">
      <c r="A120" t="s">
        <v>856</v>
      </c>
      <c r="B120" t="s">
        <v>611</v>
      </c>
      <c r="C120" s="5">
        <v>41.1</v>
      </c>
      <c r="D120" s="5">
        <v>42.3</v>
      </c>
      <c r="E120" s="5">
        <v>45.7</v>
      </c>
      <c r="F120" s="5">
        <v>50</v>
      </c>
      <c r="G120" s="5">
        <v>56.2</v>
      </c>
      <c r="H120" s="5">
        <v>60.7</v>
      </c>
      <c r="I120" s="5">
        <v>65.599999999999994</v>
      </c>
      <c r="J120" s="5">
        <v>66.2</v>
      </c>
      <c r="K120" s="5">
        <v>61.5</v>
      </c>
      <c r="L120" s="5">
        <v>52.6</v>
      </c>
      <c r="M120" s="5">
        <v>45</v>
      </c>
      <c r="N120" s="5">
        <v>40.299999999999997</v>
      </c>
    </row>
    <row r="121" spans="1:14" x14ac:dyDescent="0.2">
      <c r="A121" t="s">
        <v>714</v>
      </c>
      <c r="B121" t="s">
        <v>611</v>
      </c>
      <c r="C121">
        <v>39.6</v>
      </c>
      <c r="D121">
        <v>40.700000000000003</v>
      </c>
      <c r="E121">
        <v>44.1</v>
      </c>
      <c r="F121">
        <v>48.2</v>
      </c>
      <c r="G121">
        <v>54.5</v>
      </c>
      <c r="H121">
        <v>59.1</v>
      </c>
      <c r="I121">
        <v>64.2</v>
      </c>
      <c r="J121">
        <v>64.2</v>
      </c>
      <c r="K121">
        <v>59.1</v>
      </c>
      <c r="L121">
        <v>50.3</v>
      </c>
      <c r="M121">
        <v>43.2</v>
      </c>
      <c r="N121">
        <v>38.9</v>
      </c>
    </row>
    <row r="122" spans="1:14" x14ac:dyDescent="0.2">
      <c r="A122" t="s">
        <v>967</v>
      </c>
      <c r="B122" t="s">
        <v>611</v>
      </c>
      <c r="C122">
        <v>39.200000000000003</v>
      </c>
      <c r="D122">
        <v>39.799999999999997</v>
      </c>
      <c r="E122">
        <v>42.4</v>
      </c>
      <c r="F122">
        <v>46.5</v>
      </c>
      <c r="G122">
        <v>51.5</v>
      </c>
      <c r="H122">
        <v>55.4</v>
      </c>
      <c r="I122">
        <v>59.7</v>
      </c>
      <c r="J122">
        <v>60.4</v>
      </c>
      <c r="K122">
        <v>56.6</v>
      </c>
      <c r="L122">
        <v>49.2</v>
      </c>
      <c r="M122">
        <v>42.7</v>
      </c>
      <c r="N122">
        <v>39.1</v>
      </c>
    </row>
    <row r="123" spans="1:14" x14ac:dyDescent="0.2">
      <c r="A123" t="s">
        <v>564</v>
      </c>
      <c r="B123" t="s">
        <v>611</v>
      </c>
      <c r="C123">
        <v>42.8</v>
      </c>
      <c r="D123">
        <v>44</v>
      </c>
      <c r="E123">
        <v>47.1</v>
      </c>
      <c r="F123">
        <v>51.3</v>
      </c>
      <c r="G123">
        <v>57.5</v>
      </c>
      <c r="H123">
        <v>62</v>
      </c>
      <c r="I123">
        <v>67.099999999999994</v>
      </c>
      <c r="J123">
        <v>67.400000000000006</v>
      </c>
      <c r="K123">
        <v>62.6</v>
      </c>
      <c r="L123">
        <v>53.8</v>
      </c>
      <c r="M123">
        <v>46.5</v>
      </c>
      <c r="N123">
        <v>42</v>
      </c>
    </row>
    <row r="124" spans="1:14" x14ac:dyDescent="0.2">
      <c r="A124" t="s">
        <v>673</v>
      </c>
      <c r="B124" t="s">
        <v>624</v>
      </c>
      <c r="C124">
        <v>19.399999999999999</v>
      </c>
      <c r="D124">
        <v>23</v>
      </c>
      <c r="E124">
        <v>34.4</v>
      </c>
      <c r="F124">
        <v>46.3</v>
      </c>
      <c r="G124">
        <v>58.1</v>
      </c>
      <c r="H124">
        <v>68</v>
      </c>
      <c r="I124">
        <v>71.900000000000006</v>
      </c>
      <c r="J124">
        <v>69.7</v>
      </c>
      <c r="K124">
        <v>62</v>
      </c>
      <c r="L124">
        <v>49.7</v>
      </c>
      <c r="M124">
        <v>36.700000000000003</v>
      </c>
      <c r="N124">
        <v>25.3</v>
      </c>
    </row>
    <row r="125" spans="1:14" x14ac:dyDescent="0.2">
      <c r="A125" t="s">
        <v>595</v>
      </c>
      <c r="B125" t="s">
        <v>624</v>
      </c>
      <c r="C125">
        <v>24</v>
      </c>
      <c r="D125">
        <v>27.1</v>
      </c>
      <c r="E125">
        <v>36.4</v>
      </c>
      <c r="F125">
        <v>46.3</v>
      </c>
      <c r="G125">
        <v>57.1</v>
      </c>
      <c r="H125">
        <v>67.599999999999994</v>
      </c>
      <c r="I125">
        <v>73.3</v>
      </c>
      <c r="J125">
        <v>72.3</v>
      </c>
      <c r="K125">
        <v>65</v>
      </c>
      <c r="L125">
        <v>53</v>
      </c>
      <c r="M125">
        <v>40.4</v>
      </c>
      <c r="N125">
        <v>29.5</v>
      </c>
    </row>
    <row r="126" spans="1:14" x14ac:dyDescent="0.2">
      <c r="A126" t="s">
        <v>721</v>
      </c>
      <c r="B126" t="s">
        <v>705</v>
      </c>
      <c r="C126">
        <v>35</v>
      </c>
      <c r="D126">
        <v>38.200000000000003</v>
      </c>
      <c r="E126">
        <v>46</v>
      </c>
      <c r="F126">
        <v>56.9</v>
      </c>
      <c r="G126">
        <v>64.7</v>
      </c>
      <c r="H126">
        <v>72.3</v>
      </c>
      <c r="I126">
        <v>75.8</v>
      </c>
      <c r="J126">
        <v>74.599999999999994</v>
      </c>
      <c r="K126">
        <v>68.3</v>
      </c>
      <c r="L126">
        <v>57</v>
      </c>
      <c r="M126">
        <v>46.4</v>
      </c>
      <c r="N126">
        <v>38.700000000000003</v>
      </c>
    </row>
    <row r="127" spans="1:14" x14ac:dyDescent="0.2">
      <c r="A127" t="s">
        <v>706</v>
      </c>
      <c r="B127" t="s">
        <v>705</v>
      </c>
      <c r="C127" s="5">
        <v>34.799999999999997</v>
      </c>
      <c r="D127" s="5">
        <v>38.200000000000003</v>
      </c>
      <c r="E127" s="5">
        <v>46.4</v>
      </c>
      <c r="F127" s="5">
        <v>57.2</v>
      </c>
      <c r="G127" s="5">
        <v>65.2</v>
      </c>
      <c r="H127" s="5">
        <v>72.900000000000006</v>
      </c>
      <c r="I127" s="5">
        <v>76.400000000000006</v>
      </c>
      <c r="J127" s="5">
        <v>75.2</v>
      </c>
      <c r="K127" s="5">
        <v>68.7</v>
      </c>
      <c r="L127" s="5">
        <v>57.4</v>
      </c>
      <c r="M127" s="5">
        <v>46.6</v>
      </c>
      <c r="N127" s="5">
        <v>38.6</v>
      </c>
    </row>
    <row r="128" spans="1:14" x14ac:dyDescent="0.2">
      <c r="A128" t="s">
        <v>896</v>
      </c>
      <c r="B128" t="s">
        <v>705</v>
      </c>
      <c r="C128">
        <v>32</v>
      </c>
      <c r="D128">
        <v>34.799999999999997</v>
      </c>
      <c r="E128">
        <v>42.6</v>
      </c>
      <c r="F128">
        <v>53.8</v>
      </c>
      <c r="G128">
        <v>62.6</v>
      </c>
      <c r="H128">
        <v>70.3</v>
      </c>
      <c r="I128">
        <v>74.099999999999994</v>
      </c>
      <c r="J128">
        <v>72.8</v>
      </c>
      <c r="K128">
        <v>66.5</v>
      </c>
      <c r="L128">
        <v>55.3</v>
      </c>
      <c r="M128">
        <v>44.9</v>
      </c>
      <c r="N128">
        <v>36.4</v>
      </c>
    </row>
    <row r="129" spans="1:14" x14ac:dyDescent="0.2">
      <c r="A129" t="s">
        <v>868</v>
      </c>
      <c r="B129" t="s">
        <v>731</v>
      </c>
      <c r="C129">
        <v>25.1</v>
      </c>
      <c r="D129">
        <v>26.6</v>
      </c>
      <c r="E129">
        <v>35.799999999999997</v>
      </c>
      <c r="F129">
        <v>42.3</v>
      </c>
      <c r="G129">
        <v>52</v>
      </c>
      <c r="H129">
        <v>62.5</v>
      </c>
      <c r="I129">
        <v>71</v>
      </c>
      <c r="J129">
        <v>69</v>
      </c>
      <c r="K129">
        <v>58.9</v>
      </c>
      <c r="L129">
        <v>45.3</v>
      </c>
      <c r="M129">
        <v>34</v>
      </c>
      <c r="N129">
        <v>24.8</v>
      </c>
    </row>
    <row r="130" spans="1:14" x14ac:dyDescent="0.2">
      <c r="A130" t="s">
        <v>732</v>
      </c>
      <c r="B130" t="s">
        <v>731</v>
      </c>
      <c r="C130">
        <v>29.2</v>
      </c>
      <c r="D130">
        <v>29.5</v>
      </c>
      <c r="E130">
        <v>37.1</v>
      </c>
      <c r="F130">
        <v>42.8</v>
      </c>
      <c r="G130">
        <v>52.3</v>
      </c>
      <c r="H130">
        <v>63.1</v>
      </c>
      <c r="I130">
        <v>70.099999999999994</v>
      </c>
      <c r="J130">
        <v>68.099999999999994</v>
      </c>
      <c r="K130">
        <v>59.6</v>
      </c>
      <c r="L130">
        <v>46.5</v>
      </c>
      <c r="M130">
        <v>36.1</v>
      </c>
      <c r="N130">
        <v>28.7</v>
      </c>
    </row>
  </sheetData>
  <sortState xmlns:xlrd2="http://schemas.microsoft.com/office/spreadsheetml/2017/richdata2" ref="A2:N130">
    <sortCondition ref="B2:B130"/>
    <sortCondition ref="A2:A13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B52D-2B73-834D-AD89-940E0609D329}">
  <dimension ref="A1:E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baseColWidth="10" defaultRowHeight="16" x14ac:dyDescent="0.2"/>
  <cols>
    <col min="1" max="1" width="22.6640625" bestFit="1" customWidth="1"/>
    <col min="2" max="2" width="29.5" bestFit="1" customWidth="1"/>
    <col min="3" max="3" width="12.33203125" style="2" bestFit="1" customWidth="1"/>
    <col min="4" max="4" width="12.1640625" style="2" bestFit="1" customWidth="1"/>
    <col min="5" max="5" width="13.33203125" bestFit="1" customWidth="1"/>
    <col min="6" max="6" width="12.1640625" bestFit="1" customWidth="1"/>
    <col min="7" max="7" width="8.33203125" bestFit="1" customWidth="1"/>
    <col min="10" max="10" width="12.5" bestFit="1" customWidth="1"/>
  </cols>
  <sheetData>
    <row r="1" spans="1:5" x14ac:dyDescent="0.2">
      <c r="A1" t="s">
        <v>1136</v>
      </c>
      <c r="B1" t="s">
        <v>1137</v>
      </c>
      <c r="C1" s="2" t="s">
        <v>1176</v>
      </c>
      <c r="D1" s="2" t="s">
        <v>1177</v>
      </c>
    </row>
    <row r="2" spans="1:5" x14ac:dyDescent="0.2">
      <c r="A2" t="s">
        <v>1155</v>
      </c>
      <c r="B2" t="s">
        <v>1167</v>
      </c>
      <c r="C2" s="19">
        <f>DATE(2014,6,15)</f>
        <v>41805</v>
      </c>
      <c r="D2" s="19">
        <f>DATE(2014,6,30)</f>
        <v>41820</v>
      </c>
    </row>
    <row r="3" spans="1:5" x14ac:dyDescent="0.2">
      <c r="A3" t="s">
        <v>1154</v>
      </c>
      <c r="B3" t="s">
        <v>1166</v>
      </c>
      <c r="C3" s="17">
        <f>DATE(2016,12,23)</f>
        <v>42727</v>
      </c>
      <c r="D3" s="17">
        <f>DATE(2016,12,31)</f>
        <v>42735</v>
      </c>
    </row>
    <row r="4" spans="1:5" x14ac:dyDescent="0.2">
      <c r="A4" t="s">
        <v>1153</v>
      </c>
      <c r="B4" t="s">
        <v>1165</v>
      </c>
      <c r="C4" s="19">
        <f>DATE(2017,6,15)</f>
        <v>42901</v>
      </c>
      <c r="D4" s="19">
        <f>DATE(2017,6,30)</f>
        <v>42916</v>
      </c>
    </row>
    <row r="5" spans="1:5" x14ac:dyDescent="0.2">
      <c r="A5" t="s">
        <v>1151</v>
      </c>
      <c r="B5" t="s">
        <v>1178</v>
      </c>
      <c r="C5" s="18">
        <f>DATE(2021,8,31)</f>
        <v>44439</v>
      </c>
      <c r="D5" s="18">
        <f>DATE(2021,9,6)</f>
        <v>44445</v>
      </c>
    </row>
    <row r="6" spans="1:5" x14ac:dyDescent="0.2">
      <c r="A6" t="s">
        <v>1150</v>
      </c>
      <c r="B6" t="s">
        <v>1163</v>
      </c>
      <c r="C6" s="17">
        <f>DATE(2021,10,18)</f>
        <v>44487</v>
      </c>
      <c r="D6" s="17">
        <f>DATE(2021,10,31)</f>
        <v>44500</v>
      </c>
    </row>
    <row r="7" spans="1:5" x14ac:dyDescent="0.2">
      <c r="A7" t="s">
        <v>1152</v>
      </c>
      <c r="B7" t="s">
        <v>1164</v>
      </c>
      <c r="C7" s="17">
        <f>DATE(2021,5,10)</f>
        <v>44326</v>
      </c>
      <c r="D7" s="17">
        <f>DATE(2021,5,21)</f>
        <v>44337</v>
      </c>
      <c r="E7" s="4"/>
    </row>
    <row r="8" spans="1:5" x14ac:dyDescent="0.2">
      <c r="A8" t="s">
        <v>1149</v>
      </c>
      <c r="B8" t="s">
        <v>1162</v>
      </c>
      <c r="C8" s="4">
        <f>DATE(2021,6,7)</f>
        <v>44354</v>
      </c>
      <c r="D8" s="4">
        <f>DATE(2021,6,19)</f>
        <v>44366</v>
      </c>
      <c r="E8" s="4"/>
    </row>
    <row r="9" spans="1:5" x14ac:dyDescent="0.2">
      <c r="A9" t="s">
        <v>1174</v>
      </c>
      <c r="B9" t="s">
        <v>1175</v>
      </c>
      <c r="C9" s="4">
        <f>DATE(2021,10,9)</f>
        <v>44478</v>
      </c>
      <c r="D9" s="4">
        <f>DATE(2021,10,11)</f>
        <v>44480</v>
      </c>
    </row>
    <row r="10" spans="1:5" x14ac:dyDescent="0.2">
      <c r="A10" t="s">
        <v>1148</v>
      </c>
      <c r="B10" t="s">
        <v>1161</v>
      </c>
      <c r="C10" s="17">
        <f>DATE(2022,8,21)</f>
        <v>44794</v>
      </c>
      <c r="D10" s="17">
        <f>DATE(2022,9,1)</f>
        <v>44805</v>
      </c>
    </row>
    <row r="11" spans="1:5" x14ac:dyDescent="0.2">
      <c r="A11" t="s">
        <v>1147</v>
      </c>
      <c r="B11" t="s">
        <v>1160</v>
      </c>
      <c r="C11" s="4">
        <f>DATE(2022,9,24)</f>
        <v>44828</v>
      </c>
      <c r="D11" s="4">
        <f>DATE(2022,9,26)</f>
        <v>44830</v>
      </c>
    </row>
    <row r="12" spans="1:5" x14ac:dyDescent="0.2">
      <c r="A12" t="s">
        <v>1145</v>
      </c>
      <c r="B12" t="s">
        <v>1158</v>
      </c>
      <c r="C12" s="4">
        <f>DATE(2023,8,25)</f>
        <v>45163</v>
      </c>
      <c r="D12" s="4">
        <f>DATE(2023,8,28)</f>
        <v>45166</v>
      </c>
    </row>
    <row r="13" spans="1:5" x14ac:dyDescent="0.2">
      <c r="A13" t="s">
        <v>1144</v>
      </c>
      <c r="B13" t="s">
        <v>1157</v>
      </c>
      <c r="C13" s="17">
        <f>DATE(2023,12,14)</f>
        <v>45274</v>
      </c>
      <c r="D13" s="17">
        <f>DATE(2023,12,24)</f>
        <v>45284</v>
      </c>
    </row>
    <row r="14" spans="1:5" x14ac:dyDescent="0.2">
      <c r="A14" t="s">
        <v>1146</v>
      </c>
      <c r="B14" t="s">
        <v>1159</v>
      </c>
      <c r="C14" s="17">
        <f>DATE(2023,5,12)</f>
        <v>45058</v>
      </c>
      <c r="D14" s="17">
        <f>DATE(2023,5,20)</f>
        <v>45066</v>
      </c>
    </row>
    <row r="15" spans="1:5" x14ac:dyDescent="0.2">
      <c r="A15" t="s">
        <v>1143</v>
      </c>
      <c r="B15" t="s">
        <v>1156</v>
      </c>
      <c r="C15" s="17">
        <f>DATE(2024,9,17)</f>
        <v>45552</v>
      </c>
      <c r="D15" s="17">
        <f>DATE(2024,9,27)</f>
        <v>45562</v>
      </c>
    </row>
  </sheetData>
  <sortState xmlns:xlrd2="http://schemas.microsoft.com/office/spreadsheetml/2017/richdata2" ref="A2:D15">
    <sortCondition ref="A2:A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54A2-49F8-5544-A22E-2817B7B21D7B}">
  <dimension ref="A1:H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7" sqref="C27"/>
    </sheetView>
  </sheetViews>
  <sheetFormatPr baseColWidth="10" defaultRowHeight="16" x14ac:dyDescent="0.2"/>
  <cols>
    <col min="1" max="1" width="18.5" bestFit="1" customWidth="1"/>
    <col min="2" max="2" width="21.1640625" bestFit="1" customWidth="1"/>
    <col min="3" max="3" width="5.5" bestFit="1" customWidth="1"/>
    <col min="4" max="5" width="15.5" bestFit="1" customWidth="1"/>
    <col min="6" max="6" width="10.83203125" bestFit="1" customWidth="1"/>
    <col min="7" max="7" width="10.1640625" bestFit="1" customWidth="1"/>
    <col min="8" max="8" width="25.1640625" bestFit="1" customWidth="1"/>
    <col min="9" max="9" width="12.5" bestFit="1" customWidth="1"/>
    <col min="10" max="10" width="11.33203125" bestFit="1" customWidth="1"/>
  </cols>
  <sheetData>
    <row r="1" spans="1:8" x14ac:dyDescent="0.2">
      <c r="A1" t="s">
        <v>1136</v>
      </c>
      <c r="B1" t="s">
        <v>1188</v>
      </c>
      <c r="C1" t="s">
        <v>1186</v>
      </c>
      <c r="D1" t="s">
        <v>1180</v>
      </c>
      <c r="E1" t="s">
        <v>1181</v>
      </c>
      <c r="F1" t="s">
        <v>1182</v>
      </c>
      <c r="G1" t="s">
        <v>1183</v>
      </c>
      <c r="H1" t="s">
        <v>1184</v>
      </c>
    </row>
    <row r="2" spans="1:8" x14ac:dyDescent="0.2">
      <c r="A2" t="s">
        <v>1143</v>
      </c>
      <c r="B2" t="str">
        <f>A2&amp;"-"&amp;TEXT(C2,"00")</f>
        <v>2024-High-Plains-01</v>
      </c>
      <c r="C2">
        <v>1</v>
      </c>
      <c r="D2" t="s">
        <v>556</v>
      </c>
      <c r="E2" t="s">
        <v>577</v>
      </c>
    </row>
    <row r="3" spans="1:8" x14ac:dyDescent="0.2">
      <c r="A3" t="s">
        <v>1143</v>
      </c>
      <c r="B3" t="str">
        <f t="shared" ref="B3:B66" si="0">A3&amp;"-"&amp;TEXT(C3,"00")</f>
        <v>2024-High-Plains-02</v>
      </c>
      <c r="C3">
        <v>2</v>
      </c>
      <c r="D3" t="s">
        <v>577</v>
      </c>
      <c r="E3" t="s">
        <v>581</v>
      </c>
    </row>
    <row r="4" spans="1:8" x14ac:dyDescent="0.2">
      <c r="A4" t="s">
        <v>1143</v>
      </c>
      <c r="B4" t="str">
        <f t="shared" si="0"/>
        <v>2024-High-Plains-03</v>
      </c>
      <c r="C4">
        <v>3</v>
      </c>
      <c r="D4" t="s">
        <v>581</v>
      </c>
      <c r="E4" t="s">
        <v>582</v>
      </c>
    </row>
    <row r="5" spans="1:8" x14ac:dyDescent="0.2">
      <c r="A5" t="s">
        <v>1143</v>
      </c>
      <c r="B5" t="str">
        <f t="shared" si="0"/>
        <v>2024-High-Plains-04</v>
      </c>
      <c r="C5">
        <v>4</v>
      </c>
      <c r="D5" t="s">
        <v>582</v>
      </c>
      <c r="E5" t="s">
        <v>552</v>
      </c>
    </row>
    <row r="6" spans="1:8" x14ac:dyDescent="0.2">
      <c r="A6" t="s">
        <v>1143</v>
      </c>
      <c r="B6" t="str">
        <f t="shared" si="0"/>
        <v>2024-High-Plains-05</v>
      </c>
      <c r="C6">
        <v>5</v>
      </c>
      <c r="D6" t="s">
        <v>552</v>
      </c>
      <c r="E6" t="s">
        <v>673</v>
      </c>
    </row>
    <row r="7" spans="1:8" x14ac:dyDescent="0.2">
      <c r="A7" t="s">
        <v>1143</v>
      </c>
      <c r="B7" t="str">
        <f t="shared" si="0"/>
        <v>2024-High-Plains-06</v>
      </c>
      <c r="C7">
        <v>6</v>
      </c>
      <c r="D7" t="s">
        <v>673</v>
      </c>
      <c r="E7" t="s">
        <v>565</v>
      </c>
    </row>
    <row r="8" spans="1:8" x14ac:dyDescent="0.2">
      <c r="A8" t="s">
        <v>1143</v>
      </c>
      <c r="B8" t="str">
        <f t="shared" si="0"/>
        <v>2024-High-Plains-07</v>
      </c>
      <c r="C8">
        <v>7</v>
      </c>
      <c r="D8" t="s">
        <v>565</v>
      </c>
      <c r="E8" t="s">
        <v>716</v>
      </c>
    </row>
    <row r="9" spans="1:8" x14ac:dyDescent="0.2">
      <c r="A9" t="s">
        <v>1143</v>
      </c>
      <c r="B9" t="str">
        <f t="shared" si="0"/>
        <v>2024-High-Plains-08</v>
      </c>
      <c r="C9">
        <v>8</v>
      </c>
      <c r="D9" t="s">
        <v>716</v>
      </c>
      <c r="E9" t="s">
        <v>728</v>
      </c>
    </row>
    <row r="10" spans="1:8" x14ac:dyDescent="0.2">
      <c r="A10" t="s">
        <v>1143</v>
      </c>
      <c r="B10" t="str">
        <f t="shared" si="0"/>
        <v>2024-High-Plains-09</v>
      </c>
      <c r="C10">
        <v>9</v>
      </c>
      <c r="D10" t="s">
        <v>728</v>
      </c>
      <c r="E10" s="15"/>
      <c r="F10">
        <v>-103.429874</v>
      </c>
      <c r="G10">
        <v>46.933005000000001</v>
      </c>
      <c r="H10" t="s">
        <v>1172</v>
      </c>
    </row>
    <row r="11" spans="1:8" x14ac:dyDescent="0.2">
      <c r="A11" t="s">
        <v>1143</v>
      </c>
      <c r="B11" t="str">
        <f t="shared" si="0"/>
        <v>2024-High-Plains-10</v>
      </c>
      <c r="C11">
        <v>10</v>
      </c>
      <c r="D11" s="15"/>
      <c r="E11" t="s">
        <v>858</v>
      </c>
    </row>
    <row r="12" spans="1:8" x14ac:dyDescent="0.2">
      <c r="A12" t="s">
        <v>1143</v>
      </c>
      <c r="B12" t="str">
        <f t="shared" si="0"/>
        <v>2024-High-Plains-11</v>
      </c>
      <c r="C12">
        <v>11</v>
      </c>
      <c r="D12" t="s">
        <v>858</v>
      </c>
      <c r="E12" t="s">
        <v>748</v>
      </c>
    </row>
    <row r="13" spans="1:8" x14ac:dyDescent="0.2">
      <c r="A13" t="s">
        <v>1143</v>
      </c>
      <c r="B13" t="str">
        <f t="shared" si="0"/>
        <v>2024-High-Plains-12</v>
      </c>
      <c r="C13">
        <v>12</v>
      </c>
      <c r="D13" t="s">
        <v>748</v>
      </c>
      <c r="E13" t="s">
        <v>713</v>
      </c>
    </row>
    <row r="14" spans="1:8" x14ac:dyDescent="0.2">
      <c r="A14" t="s">
        <v>1143</v>
      </c>
      <c r="B14" t="str">
        <f t="shared" si="0"/>
        <v>2024-High-Plains-13</v>
      </c>
      <c r="C14">
        <v>13</v>
      </c>
      <c r="D14" t="s">
        <v>713</v>
      </c>
      <c r="E14" t="s">
        <v>637</v>
      </c>
    </row>
    <row r="15" spans="1:8" x14ac:dyDescent="0.2">
      <c r="A15" t="s">
        <v>1143</v>
      </c>
      <c r="B15" t="str">
        <f t="shared" si="0"/>
        <v>2024-High-Plains-14</v>
      </c>
      <c r="C15">
        <v>14</v>
      </c>
      <c r="D15" t="s">
        <v>637</v>
      </c>
      <c r="E15" t="s">
        <v>669</v>
      </c>
    </row>
    <row r="16" spans="1:8" x14ac:dyDescent="0.2">
      <c r="A16" t="s">
        <v>1143</v>
      </c>
      <c r="B16" t="str">
        <f t="shared" si="0"/>
        <v>2024-High-Plains-15</v>
      </c>
      <c r="C16">
        <v>15</v>
      </c>
      <c r="D16" t="s">
        <v>669</v>
      </c>
      <c r="E16" t="s">
        <v>582</v>
      </c>
    </row>
    <row r="17" spans="1:5" x14ac:dyDescent="0.2">
      <c r="A17" t="s">
        <v>1143</v>
      </c>
      <c r="B17" t="str">
        <f t="shared" si="0"/>
        <v>2024-High-Plains-16</v>
      </c>
      <c r="C17">
        <v>16</v>
      </c>
      <c r="D17" t="s">
        <v>582</v>
      </c>
      <c r="E17" t="s">
        <v>581</v>
      </c>
    </row>
    <row r="18" spans="1:5" x14ac:dyDescent="0.2">
      <c r="A18" t="s">
        <v>1143</v>
      </c>
      <c r="B18" t="str">
        <f t="shared" si="0"/>
        <v>2024-High-Plains-17</v>
      </c>
      <c r="C18">
        <v>17</v>
      </c>
      <c r="D18" t="s">
        <v>581</v>
      </c>
      <c r="E18" t="s">
        <v>577</v>
      </c>
    </row>
    <row r="19" spans="1:5" x14ac:dyDescent="0.2">
      <c r="A19" t="s">
        <v>1143</v>
      </c>
      <c r="B19" t="str">
        <f t="shared" si="0"/>
        <v>2024-High-Plains-18</v>
      </c>
      <c r="C19">
        <v>18</v>
      </c>
      <c r="D19" t="s">
        <v>577</v>
      </c>
      <c r="E19" t="s">
        <v>556</v>
      </c>
    </row>
    <row r="20" spans="1:5" x14ac:dyDescent="0.2">
      <c r="A20" t="s">
        <v>1144</v>
      </c>
      <c r="B20" t="str">
        <f t="shared" si="0"/>
        <v>2023-Florida-01</v>
      </c>
      <c r="C20">
        <v>1</v>
      </c>
      <c r="D20" t="s">
        <v>556</v>
      </c>
      <c r="E20" t="s">
        <v>599</v>
      </c>
    </row>
    <row r="21" spans="1:5" x14ac:dyDescent="0.2">
      <c r="A21" t="s">
        <v>1144</v>
      </c>
      <c r="B21" t="str">
        <f t="shared" si="0"/>
        <v>2023-Florida-02</v>
      </c>
      <c r="C21">
        <v>2</v>
      </c>
      <c r="D21" t="s">
        <v>599</v>
      </c>
      <c r="E21" t="s">
        <v>596</v>
      </c>
    </row>
    <row r="22" spans="1:5" x14ac:dyDescent="0.2">
      <c r="A22" t="s">
        <v>1144</v>
      </c>
      <c r="B22" t="str">
        <f t="shared" si="0"/>
        <v>2023-Florida-03</v>
      </c>
      <c r="C22">
        <v>3</v>
      </c>
      <c r="D22" t="s">
        <v>596</v>
      </c>
      <c r="E22" s="14" t="s">
        <v>657</v>
      </c>
    </row>
    <row r="23" spans="1:5" x14ac:dyDescent="0.2">
      <c r="A23" t="s">
        <v>1144</v>
      </c>
      <c r="B23" t="str">
        <f t="shared" si="0"/>
        <v>2023-Florida-04</v>
      </c>
      <c r="C23">
        <v>4</v>
      </c>
      <c r="D23" s="14" t="s">
        <v>657</v>
      </c>
      <c r="E23" t="s">
        <v>864</v>
      </c>
    </row>
    <row r="24" spans="1:5" x14ac:dyDescent="0.2">
      <c r="A24" t="s">
        <v>1144</v>
      </c>
      <c r="B24" t="str">
        <f t="shared" si="0"/>
        <v>2023-Florida-05</v>
      </c>
      <c r="C24">
        <v>5</v>
      </c>
      <c r="D24" t="s">
        <v>864</v>
      </c>
      <c r="E24" t="s">
        <v>593</v>
      </c>
    </row>
    <row r="25" spans="1:5" x14ac:dyDescent="0.2">
      <c r="A25" t="s">
        <v>1144</v>
      </c>
      <c r="B25" t="str">
        <f t="shared" si="0"/>
        <v>2023-Florida-06</v>
      </c>
      <c r="C25">
        <v>6</v>
      </c>
      <c r="D25" t="s">
        <v>593</v>
      </c>
      <c r="E25" t="s">
        <v>569</v>
      </c>
    </row>
    <row r="26" spans="1:5" x14ac:dyDescent="0.2">
      <c r="A26" t="s">
        <v>1144</v>
      </c>
      <c r="B26" t="str">
        <f t="shared" si="0"/>
        <v>2023-Florida-07</v>
      </c>
      <c r="C26">
        <v>7</v>
      </c>
      <c r="D26" t="s">
        <v>569</v>
      </c>
      <c r="E26" t="s">
        <v>555</v>
      </c>
    </row>
    <row r="27" spans="1:5" x14ac:dyDescent="0.2">
      <c r="A27" t="s">
        <v>1144</v>
      </c>
      <c r="B27" t="str">
        <f t="shared" si="0"/>
        <v>2023-Florida-08</v>
      </c>
      <c r="C27">
        <v>8</v>
      </c>
      <c r="D27" t="s">
        <v>555</v>
      </c>
      <c r="E27" t="s">
        <v>566</v>
      </c>
    </row>
    <row r="28" spans="1:5" x14ac:dyDescent="0.2">
      <c r="A28" t="s">
        <v>1144</v>
      </c>
      <c r="B28" t="str">
        <f t="shared" si="0"/>
        <v>2023-Florida-09</v>
      </c>
      <c r="C28">
        <v>9</v>
      </c>
      <c r="D28" t="s">
        <v>566</v>
      </c>
      <c r="E28" t="s">
        <v>709</v>
      </c>
    </row>
    <row r="29" spans="1:5" x14ac:dyDescent="0.2">
      <c r="A29" t="s">
        <v>1144</v>
      </c>
      <c r="B29" t="str">
        <f t="shared" si="0"/>
        <v>2023-Florida-10</v>
      </c>
      <c r="C29">
        <v>10</v>
      </c>
      <c r="D29" t="s">
        <v>709</v>
      </c>
      <c r="E29" t="s">
        <v>593</v>
      </c>
    </row>
    <row r="30" spans="1:5" x14ac:dyDescent="0.2">
      <c r="A30" t="s">
        <v>1144</v>
      </c>
      <c r="B30" t="str">
        <f t="shared" si="0"/>
        <v>2023-Florida-11</v>
      </c>
      <c r="C30">
        <v>11</v>
      </c>
      <c r="D30" t="s">
        <v>593</v>
      </c>
      <c r="E30" t="s">
        <v>864</v>
      </c>
    </row>
    <row r="31" spans="1:5" x14ac:dyDescent="0.2">
      <c r="A31" t="s">
        <v>1144</v>
      </c>
      <c r="B31" t="str">
        <f t="shared" si="0"/>
        <v>2023-Florida-12</v>
      </c>
      <c r="C31">
        <v>12</v>
      </c>
      <c r="D31" t="s">
        <v>864</v>
      </c>
      <c r="E31" t="s">
        <v>596</v>
      </c>
    </row>
    <row r="32" spans="1:5" x14ac:dyDescent="0.2">
      <c r="A32" t="s">
        <v>1144</v>
      </c>
      <c r="B32" t="str">
        <f t="shared" si="0"/>
        <v>2023-Florida-13</v>
      </c>
      <c r="C32">
        <v>13</v>
      </c>
      <c r="D32" t="s">
        <v>596</v>
      </c>
      <c r="E32" t="s">
        <v>599</v>
      </c>
    </row>
    <row r="33" spans="1:8" x14ac:dyDescent="0.2">
      <c r="A33" t="s">
        <v>1144</v>
      </c>
      <c r="B33" t="str">
        <f t="shared" si="0"/>
        <v>2023-Florida-14</v>
      </c>
      <c r="C33">
        <v>14</v>
      </c>
      <c r="D33" t="s">
        <v>599</v>
      </c>
      <c r="E33" t="s">
        <v>556</v>
      </c>
    </row>
    <row r="34" spans="1:8" x14ac:dyDescent="0.2">
      <c r="A34" t="s">
        <v>1145</v>
      </c>
      <c r="B34" t="str">
        <f t="shared" si="0"/>
        <v>2023-DelMarVa-01</v>
      </c>
      <c r="C34">
        <v>1</v>
      </c>
      <c r="D34" t="s">
        <v>556</v>
      </c>
      <c r="E34" t="s">
        <v>743</v>
      </c>
    </row>
    <row r="35" spans="1:8" x14ac:dyDescent="0.2">
      <c r="A35" t="s">
        <v>1145</v>
      </c>
      <c r="B35" t="str">
        <f t="shared" si="0"/>
        <v>2023-DelMarVa-02</v>
      </c>
      <c r="C35">
        <v>2</v>
      </c>
      <c r="D35" t="s">
        <v>743</v>
      </c>
      <c r="E35" t="s">
        <v>723</v>
      </c>
    </row>
    <row r="36" spans="1:8" x14ac:dyDescent="0.2">
      <c r="A36" t="s">
        <v>1145</v>
      </c>
      <c r="B36" t="str">
        <f t="shared" si="0"/>
        <v>2023-DelMarVa-03</v>
      </c>
      <c r="C36">
        <v>3</v>
      </c>
      <c r="D36" t="s">
        <v>723</v>
      </c>
      <c r="E36" s="15"/>
      <c r="F36">
        <v>-75.036437000000006</v>
      </c>
      <c r="G36">
        <v>38.333578000000003</v>
      </c>
      <c r="H36" t="s">
        <v>1173</v>
      </c>
    </row>
    <row r="37" spans="1:8" x14ac:dyDescent="0.2">
      <c r="A37" t="s">
        <v>1145</v>
      </c>
      <c r="B37" t="str">
        <f t="shared" si="0"/>
        <v>2023-DelMarVa-04</v>
      </c>
      <c r="C37">
        <v>4</v>
      </c>
      <c r="D37" s="15"/>
      <c r="E37" t="s">
        <v>743</v>
      </c>
    </row>
    <row r="38" spans="1:8" x14ac:dyDescent="0.2">
      <c r="A38" t="s">
        <v>1145</v>
      </c>
      <c r="B38" t="str">
        <f t="shared" si="0"/>
        <v>2023-DelMarVa-05</v>
      </c>
      <c r="C38">
        <v>5</v>
      </c>
      <c r="D38" t="s">
        <v>743</v>
      </c>
      <c r="E38" t="s">
        <v>556</v>
      </c>
    </row>
    <row r="39" spans="1:8" x14ac:dyDescent="0.2">
      <c r="A39" t="s">
        <v>1146</v>
      </c>
      <c r="B39" t="str">
        <f t="shared" si="0"/>
        <v>2023-Southeast-01</v>
      </c>
      <c r="C39">
        <v>1</v>
      </c>
      <c r="D39" t="s">
        <v>556</v>
      </c>
      <c r="E39" s="14" t="s">
        <v>857</v>
      </c>
    </row>
    <row r="40" spans="1:8" x14ac:dyDescent="0.2">
      <c r="A40" t="s">
        <v>1146</v>
      </c>
      <c r="B40" t="str">
        <f t="shared" si="0"/>
        <v>2023-Southeast-02</v>
      </c>
      <c r="C40">
        <v>2</v>
      </c>
      <c r="D40" s="14" t="s">
        <v>857</v>
      </c>
      <c r="E40" t="s">
        <v>646</v>
      </c>
    </row>
    <row r="41" spans="1:8" x14ac:dyDescent="0.2">
      <c r="A41" t="s">
        <v>1146</v>
      </c>
      <c r="B41" t="str">
        <f t="shared" si="0"/>
        <v>2023-Southeast-03</v>
      </c>
      <c r="C41">
        <v>3</v>
      </c>
      <c r="D41" t="s">
        <v>646</v>
      </c>
      <c r="E41" t="s">
        <v>584</v>
      </c>
    </row>
    <row r="42" spans="1:8" x14ac:dyDescent="0.2">
      <c r="A42" t="s">
        <v>1146</v>
      </c>
      <c r="B42" t="str">
        <f t="shared" si="0"/>
        <v>2023-Southeast-04</v>
      </c>
      <c r="C42">
        <v>4</v>
      </c>
      <c r="D42" t="s">
        <v>584</v>
      </c>
      <c r="E42" t="s">
        <v>602</v>
      </c>
    </row>
    <row r="43" spans="1:8" x14ac:dyDescent="0.2">
      <c r="A43" t="s">
        <v>1146</v>
      </c>
      <c r="B43" t="str">
        <f t="shared" si="0"/>
        <v>2023-Southeast-05</v>
      </c>
      <c r="C43">
        <v>5</v>
      </c>
      <c r="D43" t="s">
        <v>602</v>
      </c>
      <c r="E43" t="s">
        <v>708</v>
      </c>
    </row>
    <row r="44" spans="1:8" x14ac:dyDescent="0.2">
      <c r="A44" t="s">
        <v>1146</v>
      </c>
      <c r="B44" t="str">
        <f t="shared" si="0"/>
        <v>2023-Southeast-06</v>
      </c>
      <c r="C44">
        <v>6</v>
      </c>
      <c r="D44" t="s">
        <v>708</v>
      </c>
      <c r="E44" t="s">
        <v>557</v>
      </c>
    </row>
    <row r="45" spans="1:8" x14ac:dyDescent="0.2">
      <c r="A45" t="s">
        <v>1146</v>
      </c>
      <c r="B45" t="str">
        <f t="shared" si="0"/>
        <v>2023-Southeast-07</v>
      </c>
      <c r="C45">
        <v>7</v>
      </c>
      <c r="D45" t="s">
        <v>557</v>
      </c>
      <c r="E45" t="s">
        <v>864</v>
      </c>
    </row>
    <row r="46" spans="1:8" x14ac:dyDescent="0.2">
      <c r="A46" t="s">
        <v>1146</v>
      </c>
      <c r="B46" t="str">
        <f t="shared" si="0"/>
        <v>2023-Southeast-08</v>
      </c>
      <c r="C46">
        <v>8</v>
      </c>
      <c r="D46" t="s">
        <v>864</v>
      </c>
      <c r="E46" t="s">
        <v>658</v>
      </c>
    </row>
    <row r="47" spans="1:8" x14ac:dyDescent="0.2">
      <c r="A47" t="s">
        <v>1146</v>
      </c>
      <c r="B47" t="str">
        <f t="shared" si="0"/>
        <v>2023-Southeast-09</v>
      </c>
      <c r="C47">
        <v>9</v>
      </c>
      <c r="D47" t="s">
        <v>658</v>
      </c>
      <c r="E47" t="s">
        <v>657</v>
      </c>
    </row>
    <row r="48" spans="1:8" x14ac:dyDescent="0.2">
      <c r="A48" t="s">
        <v>1146</v>
      </c>
      <c r="B48" t="str">
        <f t="shared" si="0"/>
        <v>2023-Southeast-10</v>
      </c>
      <c r="C48">
        <v>10</v>
      </c>
      <c r="D48" t="s">
        <v>657</v>
      </c>
      <c r="E48" t="s">
        <v>570</v>
      </c>
    </row>
    <row r="49" spans="1:8" x14ac:dyDescent="0.2">
      <c r="A49" t="s">
        <v>1146</v>
      </c>
      <c r="B49" t="str">
        <f t="shared" si="0"/>
        <v>2023-Southeast-11</v>
      </c>
      <c r="C49">
        <v>11</v>
      </c>
      <c r="D49" t="s">
        <v>570</v>
      </c>
      <c r="E49" s="14" t="s">
        <v>596</v>
      </c>
    </row>
    <row r="50" spans="1:8" x14ac:dyDescent="0.2">
      <c r="A50" t="s">
        <v>1146</v>
      </c>
      <c r="B50" t="str">
        <f t="shared" si="0"/>
        <v>2023-Southeast-12</v>
      </c>
      <c r="C50">
        <v>12</v>
      </c>
      <c r="D50" s="14" t="s">
        <v>596</v>
      </c>
      <c r="E50" t="s">
        <v>592</v>
      </c>
    </row>
    <row r="51" spans="1:8" x14ac:dyDescent="0.2">
      <c r="A51" t="s">
        <v>1146</v>
      </c>
      <c r="B51" t="str">
        <f t="shared" si="0"/>
        <v>2023-Southeast-13</v>
      </c>
      <c r="C51">
        <v>13</v>
      </c>
      <c r="D51" t="s">
        <v>592</v>
      </c>
      <c r="E51" t="s">
        <v>599</v>
      </c>
    </row>
    <row r="52" spans="1:8" x14ac:dyDescent="0.2">
      <c r="A52" t="s">
        <v>1146</v>
      </c>
      <c r="B52" t="str">
        <f t="shared" si="0"/>
        <v>2023-Southeast-14</v>
      </c>
      <c r="C52">
        <v>14</v>
      </c>
      <c r="D52" t="s">
        <v>599</v>
      </c>
      <c r="E52" t="s">
        <v>556</v>
      </c>
    </row>
    <row r="53" spans="1:8" x14ac:dyDescent="0.2">
      <c r="A53" t="s">
        <v>1147</v>
      </c>
      <c r="B53" t="str">
        <f t="shared" si="0"/>
        <v>2022-New-Mexico-01</v>
      </c>
      <c r="C53">
        <v>1</v>
      </c>
      <c r="D53" t="s">
        <v>648</v>
      </c>
      <c r="E53" t="s">
        <v>726</v>
      </c>
    </row>
    <row r="54" spans="1:8" x14ac:dyDescent="0.2">
      <c r="A54" t="s">
        <v>1147</v>
      </c>
      <c r="B54" t="str">
        <f t="shared" si="0"/>
        <v>2022-New-Mexico-02</v>
      </c>
      <c r="C54">
        <v>2</v>
      </c>
      <c r="D54" t="s">
        <v>726</v>
      </c>
      <c r="E54" t="s">
        <v>648</v>
      </c>
    </row>
    <row r="55" spans="1:8" x14ac:dyDescent="0.2">
      <c r="A55" t="s">
        <v>1148</v>
      </c>
      <c r="B55" t="str">
        <f t="shared" si="0"/>
        <v>2022-Lake-Michigan-01</v>
      </c>
      <c r="C55">
        <v>1</v>
      </c>
      <c r="D55" t="s">
        <v>556</v>
      </c>
      <c r="E55" t="s">
        <v>577</v>
      </c>
    </row>
    <row r="56" spans="1:8" x14ac:dyDescent="0.2">
      <c r="A56" t="s">
        <v>1148</v>
      </c>
      <c r="B56" t="str">
        <f t="shared" si="0"/>
        <v>2022-Lake-Michigan-02</v>
      </c>
      <c r="C56">
        <v>2</v>
      </c>
      <c r="D56" t="s">
        <v>577</v>
      </c>
      <c r="E56" t="s">
        <v>583</v>
      </c>
    </row>
    <row r="57" spans="1:8" x14ac:dyDescent="0.2">
      <c r="A57" t="s">
        <v>1148</v>
      </c>
      <c r="B57" t="str">
        <f t="shared" si="0"/>
        <v>2022-Lake-Michigan-03</v>
      </c>
      <c r="C57">
        <v>3</v>
      </c>
      <c r="D57" t="s">
        <v>583</v>
      </c>
      <c r="E57" t="s">
        <v>745</v>
      </c>
    </row>
    <row r="58" spans="1:8" x14ac:dyDescent="0.2">
      <c r="A58" t="s">
        <v>1148</v>
      </c>
      <c r="B58" t="str">
        <f t="shared" si="0"/>
        <v>2022-Lake-Michigan-04</v>
      </c>
      <c r="C58">
        <v>4</v>
      </c>
      <c r="D58" t="s">
        <v>745</v>
      </c>
      <c r="E58" t="s">
        <v>630</v>
      </c>
    </row>
    <row r="59" spans="1:8" x14ac:dyDescent="0.2">
      <c r="A59" t="s">
        <v>1148</v>
      </c>
      <c r="B59" t="str">
        <f t="shared" si="0"/>
        <v>2022-Lake-Michigan-05</v>
      </c>
      <c r="C59">
        <v>5</v>
      </c>
      <c r="D59" t="s">
        <v>630</v>
      </c>
      <c r="E59" t="s">
        <v>552</v>
      </c>
    </row>
    <row r="60" spans="1:8" x14ac:dyDescent="0.2">
      <c r="A60" t="s">
        <v>1148</v>
      </c>
      <c r="B60" t="str">
        <f t="shared" si="0"/>
        <v>2022-Lake-Michigan-06</v>
      </c>
      <c r="C60">
        <v>6</v>
      </c>
      <c r="D60" t="s">
        <v>552</v>
      </c>
      <c r="E60" t="s">
        <v>673</v>
      </c>
    </row>
    <row r="61" spans="1:8" x14ac:dyDescent="0.2">
      <c r="A61" t="s">
        <v>1148</v>
      </c>
      <c r="B61" t="str">
        <f t="shared" si="0"/>
        <v>2022-Lake-Michigan-07</v>
      </c>
      <c r="C61">
        <v>7</v>
      </c>
      <c r="D61" t="s">
        <v>673</v>
      </c>
      <c r="E61" t="s">
        <v>595</v>
      </c>
    </row>
    <row r="62" spans="1:8" x14ac:dyDescent="0.2">
      <c r="A62" t="s">
        <v>1148</v>
      </c>
      <c r="B62" t="str">
        <f t="shared" si="0"/>
        <v>2022-Lake-Michigan-08</v>
      </c>
      <c r="C62">
        <v>8</v>
      </c>
      <c r="D62" t="s">
        <v>595</v>
      </c>
      <c r="E62" s="15"/>
      <c r="F62">
        <v>-86.654329000000004</v>
      </c>
      <c r="G62">
        <v>46.412545000000001</v>
      </c>
      <c r="H62" t="s">
        <v>1171</v>
      </c>
    </row>
    <row r="63" spans="1:8" x14ac:dyDescent="0.2">
      <c r="A63" t="s">
        <v>1148</v>
      </c>
      <c r="B63" t="str">
        <f t="shared" si="0"/>
        <v>2022-Lake-Michigan-09</v>
      </c>
      <c r="C63">
        <v>9</v>
      </c>
      <c r="D63" s="15"/>
      <c r="E63" t="s">
        <v>563</v>
      </c>
    </row>
    <row r="64" spans="1:8" x14ac:dyDescent="0.2">
      <c r="A64" t="s">
        <v>1148</v>
      </c>
      <c r="B64" t="str">
        <f t="shared" si="0"/>
        <v>2022-Lake-Michigan-10</v>
      </c>
      <c r="C64">
        <v>10</v>
      </c>
      <c r="D64" t="s">
        <v>563</v>
      </c>
      <c r="E64" t="s">
        <v>583</v>
      </c>
    </row>
    <row r="65" spans="1:5" x14ac:dyDescent="0.2">
      <c r="A65" t="s">
        <v>1148</v>
      </c>
      <c r="B65" t="str">
        <f t="shared" si="0"/>
        <v>2022-Lake-Michigan-11</v>
      </c>
      <c r="C65">
        <v>11</v>
      </c>
      <c r="D65" t="s">
        <v>583</v>
      </c>
      <c r="E65" t="s">
        <v>577</v>
      </c>
    </row>
    <row r="66" spans="1:5" x14ac:dyDescent="0.2">
      <c r="A66" t="s">
        <v>1148</v>
      </c>
      <c r="B66" t="str">
        <f t="shared" si="0"/>
        <v>2022-Lake-Michigan-12</v>
      </c>
      <c r="C66">
        <v>12</v>
      </c>
      <c r="D66" t="s">
        <v>577</v>
      </c>
      <c r="E66" t="s">
        <v>556</v>
      </c>
    </row>
    <row r="67" spans="1:5" x14ac:dyDescent="0.2">
      <c r="A67" t="s">
        <v>1149</v>
      </c>
      <c r="B67" t="str">
        <f t="shared" ref="B67:B101" si="1">A67&amp;"-"&amp;TEXT(C67,"00")</f>
        <v>2021-SoCal-Vegas-01</v>
      </c>
      <c r="C67">
        <v>1</v>
      </c>
      <c r="D67" t="s">
        <v>551</v>
      </c>
      <c r="E67" t="s">
        <v>567</v>
      </c>
    </row>
    <row r="68" spans="1:5" x14ac:dyDescent="0.2">
      <c r="A68" t="s">
        <v>1149</v>
      </c>
      <c r="B68" t="str">
        <f t="shared" si="1"/>
        <v>2021-SoCal-Vegas-02</v>
      </c>
      <c r="C68">
        <v>2</v>
      </c>
      <c r="D68" t="s">
        <v>567</v>
      </c>
      <c r="E68" t="s">
        <v>561</v>
      </c>
    </row>
    <row r="69" spans="1:5" x14ac:dyDescent="0.2">
      <c r="A69" t="s">
        <v>1149</v>
      </c>
      <c r="B69" t="str">
        <f t="shared" si="1"/>
        <v>2021-SoCal-Vegas-03</v>
      </c>
      <c r="C69">
        <v>3</v>
      </c>
      <c r="D69" t="s">
        <v>561</v>
      </c>
      <c r="E69" t="s">
        <v>578</v>
      </c>
    </row>
    <row r="70" spans="1:5" x14ac:dyDescent="0.2">
      <c r="A70" t="s">
        <v>1150</v>
      </c>
      <c r="B70" t="str">
        <f t="shared" si="1"/>
        <v>2021-Lower-Midwest-01</v>
      </c>
      <c r="C70">
        <v>1</v>
      </c>
      <c r="D70" t="s">
        <v>556</v>
      </c>
      <c r="E70" t="s">
        <v>577</v>
      </c>
    </row>
    <row r="71" spans="1:5" x14ac:dyDescent="0.2">
      <c r="A71" t="s">
        <v>1150</v>
      </c>
      <c r="B71" t="str">
        <f t="shared" si="1"/>
        <v>2021-Lower-Midwest-02</v>
      </c>
      <c r="C71">
        <v>2</v>
      </c>
      <c r="D71" t="s">
        <v>577</v>
      </c>
      <c r="E71" t="s">
        <v>581</v>
      </c>
    </row>
    <row r="72" spans="1:5" x14ac:dyDescent="0.2">
      <c r="A72" t="s">
        <v>1150</v>
      </c>
      <c r="B72" t="str">
        <f t="shared" si="1"/>
        <v>2021-Lower-Midwest-03</v>
      </c>
      <c r="C72">
        <v>3</v>
      </c>
      <c r="D72" t="s">
        <v>581</v>
      </c>
      <c r="E72" t="s">
        <v>579</v>
      </c>
    </row>
    <row r="73" spans="1:5" x14ac:dyDescent="0.2">
      <c r="A73" t="s">
        <v>1150</v>
      </c>
      <c r="B73" t="str">
        <f t="shared" si="1"/>
        <v>2021-Lower-Midwest-04</v>
      </c>
      <c r="C73">
        <v>4</v>
      </c>
      <c r="D73" t="s">
        <v>579</v>
      </c>
      <c r="E73" t="s">
        <v>582</v>
      </c>
    </row>
    <row r="74" spans="1:5" x14ac:dyDescent="0.2">
      <c r="A74" t="s">
        <v>1150</v>
      </c>
      <c r="B74" t="str">
        <f t="shared" si="1"/>
        <v>2021-Lower-Midwest-05</v>
      </c>
      <c r="C74">
        <v>5</v>
      </c>
      <c r="D74" t="s">
        <v>582</v>
      </c>
      <c r="E74" t="s">
        <v>720</v>
      </c>
    </row>
    <row r="75" spans="1:5" x14ac:dyDescent="0.2">
      <c r="A75" t="s">
        <v>1150</v>
      </c>
      <c r="B75" t="str">
        <f t="shared" si="1"/>
        <v>2021-Lower-Midwest-06</v>
      </c>
      <c r="C75">
        <v>6</v>
      </c>
      <c r="D75" t="s">
        <v>720</v>
      </c>
      <c r="E75" t="s">
        <v>669</v>
      </c>
    </row>
    <row r="76" spans="1:5" x14ac:dyDescent="0.2">
      <c r="A76" t="s">
        <v>1150</v>
      </c>
      <c r="B76" t="str">
        <f t="shared" si="1"/>
        <v>2021-Lower-Midwest-07</v>
      </c>
      <c r="C76">
        <v>7</v>
      </c>
      <c r="D76" t="s">
        <v>669</v>
      </c>
      <c r="E76" t="s">
        <v>637</v>
      </c>
    </row>
    <row r="77" spans="1:5" x14ac:dyDescent="0.2">
      <c r="A77" t="s">
        <v>1150</v>
      </c>
      <c r="B77" t="str">
        <f t="shared" si="1"/>
        <v>2021-Lower-Midwest-08</v>
      </c>
      <c r="C77">
        <v>8</v>
      </c>
      <c r="D77" t="s">
        <v>637</v>
      </c>
      <c r="E77" t="s">
        <v>707</v>
      </c>
    </row>
    <row r="78" spans="1:5" x14ac:dyDescent="0.2">
      <c r="A78" t="s">
        <v>1150</v>
      </c>
      <c r="B78" t="str">
        <f t="shared" si="1"/>
        <v>2021-Lower-Midwest-09</v>
      </c>
      <c r="C78">
        <v>9</v>
      </c>
      <c r="D78" t="s">
        <v>707</v>
      </c>
      <c r="E78" t="s">
        <v>717</v>
      </c>
    </row>
    <row r="79" spans="1:5" x14ac:dyDescent="0.2">
      <c r="A79" t="s">
        <v>1150</v>
      </c>
      <c r="B79" t="str">
        <f t="shared" si="1"/>
        <v>2021-Lower-Midwest-10</v>
      </c>
      <c r="C79">
        <v>10</v>
      </c>
      <c r="D79" t="s">
        <v>717</v>
      </c>
      <c r="E79" t="s">
        <v>580</v>
      </c>
    </row>
    <row r="80" spans="1:5" x14ac:dyDescent="0.2">
      <c r="A80" t="s">
        <v>1150</v>
      </c>
      <c r="B80" t="str">
        <f t="shared" si="1"/>
        <v>2021-Lower-Midwest-11</v>
      </c>
      <c r="C80">
        <v>11</v>
      </c>
      <c r="D80" t="s">
        <v>580</v>
      </c>
      <c r="E80" t="s">
        <v>727</v>
      </c>
    </row>
    <row r="81" spans="1:5" x14ac:dyDescent="0.2">
      <c r="A81" t="s">
        <v>1150</v>
      </c>
      <c r="B81" t="str">
        <f t="shared" si="1"/>
        <v>2021-Lower-Midwest-12</v>
      </c>
      <c r="C81">
        <v>12</v>
      </c>
      <c r="D81" t="s">
        <v>727</v>
      </c>
      <c r="E81" t="s">
        <v>572</v>
      </c>
    </row>
    <row r="82" spans="1:5" x14ac:dyDescent="0.2">
      <c r="A82" t="s">
        <v>1150</v>
      </c>
      <c r="B82" t="str">
        <f t="shared" si="1"/>
        <v>2021-Lower-Midwest-13</v>
      </c>
      <c r="C82">
        <v>13</v>
      </c>
      <c r="D82" t="s">
        <v>572</v>
      </c>
      <c r="E82" t="s">
        <v>598</v>
      </c>
    </row>
    <row r="83" spans="1:5" x14ac:dyDescent="0.2">
      <c r="A83" t="s">
        <v>1150</v>
      </c>
      <c r="B83" t="str">
        <f t="shared" si="1"/>
        <v>2021-Lower-Midwest-14</v>
      </c>
      <c r="C83">
        <v>14</v>
      </c>
      <c r="D83" t="s">
        <v>598</v>
      </c>
      <c r="E83" t="s">
        <v>739</v>
      </c>
    </row>
    <row r="84" spans="1:5" x14ac:dyDescent="0.2">
      <c r="A84" t="s">
        <v>1150</v>
      </c>
      <c r="B84" t="str">
        <f t="shared" si="1"/>
        <v>2021-Lower-Midwest-15</v>
      </c>
      <c r="C84">
        <v>15</v>
      </c>
      <c r="D84" t="s">
        <v>739</v>
      </c>
      <c r="E84" t="s">
        <v>706</v>
      </c>
    </row>
    <row r="85" spans="1:5" x14ac:dyDescent="0.2">
      <c r="A85" t="s">
        <v>1150</v>
      </c>
      <c r="B85" t="str">
        <f t="shared" si="1"/>
        <v>2021-Lower-Midwest-16</v>
      </c>
      <c r="C85">
        <v>16</v>
      </c>
      <c r="D85" t="s">
        <v>706</v>
      </c>
      <c r="E85" t="s">
        <v>721</v>
      </c>
    </row>
    <row r="86" spans="1:5" x14ac:dyDescent="0.2">
      <c r="A86" t="s">
        <v>1150</v>
      </c>
      <c r="B86" t="str">
        <f t="shared" si="1"/>
        <v>2021-Lower-Midwest-17</v>
      </c>
      <c r="C86">
        <v>17</v>
      </c>
      <c r="D86" t="s">
        <v>721</v>
      </c>
      <c r="E86" t="s">
        <v>577</v>
      </c>
    </row>
    <row r="87" spans="1:5" x14ac:dyDescent="0.2">
      <c r="A87" t="s">
        <v>1150</v>
      </c>
      <c r="B87" t="str">
        <f t="shared" si="1"/>
        <v>2021-Lower-Midwest-18</v>
      </c>
      <c r="C87">
        <v>18</v>
      </c>
      <c r="D87" t="s">
        <v>577</v>
      </c>
      <c r="E87" t="s">
        <v>556</v>
      </c>
    </row>
    <row r="88" spans="1:5" x14ac:dyDescent="0.2">
      <c r="A88" t="s">
        <v>1151</v>
      </c>
      <c r="B88" t="str">
        <f t="shared" si="1"/>
        <v>2021-Camp-Wedding-01</v>
      </c>
      <c r="C88">
        <v>1</v>
      </c>
      <c r="D88" t="s">
        <v>556</v>
      </c>
      <c r="E88" t="s">
        <v>571</v>
      </c>
    </row>
    <row r="89" spans="1:5" x14ac:dyDescent="0.2">
      <c r="A89" t="s">
        <v>1151</v>
      </c>
      <c r="B89" t="str">
        <f t="shared" si="1"/>
        <v>2021-Camp-Wedding-02</v>
      </c>
      <c r="C89">
        <v>2</v>
      </c>
      <c r="D89" t="s">
        <v>571</v>
      </c>
      <c r="E89" t="s">
        <v>558</v>
      </c>
    </row>
    <row r="90" spans="1:5" x14ac:dyDescent="0.2">
      <c r="A90" t="s">
        <v>1151</v>
      </c>
      <c r="B90" t="str">
        <f t="shared" si="1"/>
        <v>2021-Camp-Wedding-03</v>
      </c>
      <c r="C90">
        <v>3</v>
      </c>
      <c r="D90" t="s">
        <v>558</v>
      </c>
      <c r="E90" t="s">
        <v>550</v>
      </c>
    </row>
    <row r="91" spans="1:5" x14ac:dyDescent="0.2">
      <c r="A91" t="s">
        <v>1151</v>
      </c>
      <c r="B91" t="str">
        <f t="shared" si="1"/>
        <v>2021-Camp-Wedding-04</v>
      </c>
      <c r="C91">
        <v>4</v>
      </c>
      <c r="D91" t="s">
        <v>550</v>
      </c>
      <c r="E91" t="s">
        <v>631</v>
      </c>
    </row>
    <row r="92" spans="1:5" x14ac:dyDescent="0.2">
      <c r="A92" t="s">
        <v>1151</v>
      </c>
      <c r="B92" t="str">
        <f t="shared" si="1"/>
        <v>2021-Camp-Wedding-05</v>
      </c>
      <c r="C92">
        <v>5</v>
      </c>
      <c r="D92" t="s">
        <v>631</v>
      </c>
      <c r="E92" t="s">
        <v>560</v>
      </c>
    </row>
    <row r="93" spans="1:5" x14ac:dyDescent="0.2">
      <c r="A93" t="s">
        <v>1151</v>
      </c>
      <c r="B93" t="str">
        <f t="shared" si="1"/>
        <v>2021-Camp-Wedding-06</v>
      </c>
      <c r="C93">
        <v>6</v>
      </c>
      <c r="D93" t="s">
        <v>560</v>
      </c>
      <c r="E93" t="s">
        <v>746</v>
      </c>
    </row>
    <row r="94" spans="1:5" x14ac:dyDescent="0.2">
      <c r="A94" t="s">
        <v>1151</v>
      </c>
      <c r="B94" t="str">
        <f t="shared" si="1"/>
        <v>2021-Camp-Wedding-07</v>
      </c>
      <c r="C94">
        <v>7</v>
      </c>
      <c r="D94" t="s">
        <v>746</v>
      </c>
      <c r="E94" t="s">
        <v>560</v>
      </c>
    </row>
    <row r="95" spans="1:5" x14ac:dyDescent="0.2">
      <c r="A95" t="s">
        <v>1151</v>
      </c>
      <c r="B95" t="str">
        <f t="shared" si="1"/>
        <v>2021-Camp-Wedding-08</v>
      </c>
      <c r="C95">
        <v>8</v>
      </c>
      <c r="D95" t="s">
        <v>560</v>
      </c>
      <c r="E95" t="s">
        <v>631</v>
      </c>
    </row>
    <row r="96" spans="1:5" x14ac:dyDescent="0.2">
      <c r="A96" t="s">
        <v>1151</v>
      </c>
      <c r="B96" t="str">
        <f t="shared" si="1"/>
        <v>2021-Camp-Wedding-09</v>
      </c>
      <c r="C96">
        <v>9</v>
      </c>
      <c r="D96" t="s">
        <v>631</v>
      </c>
      <c r="E96" t="s">
        <v>550</v>
      </c>
    </row>
    <row r="97" spans="1:5" x14ac:dyDescent="0.2">
      <c r="A97" t="s">
        <v>1151</v>
      </c>
      <c r="B97" t="str">
        <f t="shared" si="1"/>
        <v>2021-Camp-Wedding-10</v>
      </c>
      <c r="C97">
        <v>10</v>
      </c>
      <c r="D97" t="s">
        <v>550</v>
      </c>
      <c r="E97" t="s">
        <v>558</v>
      </c>
    </row>
    <row r="98" spans="1:5" x14ac:dyDescent="0.2">
      <c r="A98" t="s">
        <v>1151</v>
      </c>
      <c r="B98" t="str">
        <f t="shared" si="1"/>
        <v>2021-Camp-Wedding-11</v>
      </c>
      <c r="C98">
        <v>11</v>
      </c>
      <c r="D98" t="s">
        <v>558</v>
      </c>
      <c r="E98" t="s">
        <v>1169</v>
      </c>
    </row>
    <row r="99" spans="1:5" x14ac:dyDescent="0.2">
      <c r="A99" t="s">
        <v>1151</v>
      </c>
      <c r="B99" t="str">
        <f t="shared" si="1"/>
        <v>2021-Camp-Wedding-12</v>
      </c>
      <c r="C99">
        <v>12</v>
      </c>
      <c r="D99" t="s">
        <v>1169</v>
      </c>
      <c r="E99" t="s">
        <v>558</v>
      </c>
    </row>
    <row r="100" spans="1:5" x14ac:dyDescent="0.2">
      <c r="A100" t="s">
        <v>1151</v>
      </c>
      <c r="B100" t="str">
        <f t="shared" si="1"/>
        <v>2021-Camp-Wedding-13</v>
      </c>
      <c r="C100">
        <v>13</v>
      </c>
      <c r="D100" t="s">
        <v>558</v>
      </c>
      <c r="E100" t="s">
        <v>571</v>
      </c>
    </row>
    <row r="101" spans="1:5" x14ac:dyDescent="0.2">
      <c r="A101" t="s">
        <v>1151</v>
      </c>
      <c r="B101" t="str">
        <f t="shared" si="1"/>
        <v>2021-Camp-Wedding-14</v>
      </c>
      <c r="C101">
        <v>14</v>
      </c>
      <c r="D101" t="s">
        <v>571</v>
      </c>
      <c r="E101" t="s">
        <v>556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585949-6493-1F44-A981-B2E1D60EC012}">
          <x14:formula1>
            <xm:f>msa_roster!$A:$A</xm:f>
          </x14:formula1>
          <xm:sqref>D2:E1048576</xm:sqref>
        </x14:dataValidation>
        <x14:dataValidation type="list" allowBlank="1" showInputMessage="1" showErrorMessage="1" xr:uid="{B8FAF944-8946-C441-B8A0-3F55AE803200}">
          <x14:formula1>
            <xm:f>trip_roster!$A:$A</xm:f>
          </x14:formula1>
          <xm:sqref>F63 A88:A1048576 A1:A69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0BCF-5BDD-F243-8775-ADAC49C3889E}">
  <dimension ref="A1:C1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8" sqref="D18"/>
    </sheetView>
  </sheetViews>
  <sheetFormatPr baseColWidth="10" defaultRowHeight="16" x14ac:dyDescent="0.2"/>
  <cols>
    <col min="1" max="1" width="18.83203125" bestFit="1" customWidth="1"/>
    <col min="2" max="2" width="15.5" bestFit="1" customWidth="1"/>
    <col min="3" max="3" width="5.6640625" bestFit="1" customWidth="1"/>
    <col min="6" max="6" width="12.5" bestFit="1" customWidth="1"/>
  </cols>
  <sheetData>
    <row r="1" spans="1:3" x14ac:dyDescent="0.2">
      <c r="A1" t="s">
        <v>1136</v>
      </c>
      <c r="B1" t="s">
        <v>549</v>
      </c>
      <c r="C1" t="s">
        <v>1187</v>
      </c>
    </row>
    <row r="2" spans="1:3" s="20" customFormat="1" x14ac:dyDescent="0.2">
      <c r="A2" s="20" t="s">
        <v>1155</v>
      </c>
      <c r="B2" s="20" t="s">
        <v>681</v>
      </c>
      <c r="C2" s="20">
        <f>INT(NOT(A2=A1))</f>
        <v>1</v>
      </c>
    </row>
    <row r="3" spans="1:3" x14ac:dyDescent="0.2">
      <c r="A3" t="s">
        <v>1155</v>
      </c>
      <c r="B3" t="s">
        <v>648</v>
      </c>
      <c r="C3">
        <f t="shared" ref="C3:C66" si="0">INT(NOT(A3=A2))</f>
        <v>0</v>
      </c>
    </row>
    <row r="4" spans="1:3" x14ac:dyDescent="0.2">
      <c r="A4" t="s">
        <v>1155</v>
      </c>
      <c r="B4" t="s">
        <v>557</v>
      </c>
      <c r="C4">
        <f t="shared" si="0"/>
        <v>0</v>
      </c>
    </row>
    <row r="5" spans="1:3" x14ac:dyDescent="0.2">
      <c r="A5" t="s">
        <v>1155</v>
      </c>
      <c r="B5" t="s">
        <v>553</v>
      </c>
      <c r="C5">
        <f t="shared" si="0"/>
        <v>0</v>
      </c>
    </row>
    <row r="6" spans="1:3" x14ac:dyDescent="0.2">
      <c r="A6" t="s">
        <v>1155</v>
      </c>
      <c r="B6" t="s">
        <v>683</v>
      </c>
      <c r="C6">
        <f t="shared" si="0"/>
        <v>0</v>
      </c>
    </row>
    <row r="7" spans="1:3" x14ac:dyDescent="0.2">
      <c r="A7" t="s">
        <v>1155</v>
      </c>
      <c r="B7" s="4" t="s">
        <v>551</v>
      </c>
      <c r="C7">
        <f t="shared" si="0"/>
        <v>0</v>
      </c>
    </row>
    <row r="8" spans="1:3" s="20" customFormat="1" x14ac:dyDescent="0.2">
      <c r="A8" s="20" t="s">
        <v>1154</v>
      </c>
      <c r="B8" s="16" t="s">
        <v>551</v>
      </c>
      <c r="C8" s="20">
        <f t="shared" si="0"/>
        <v>1</v>
      </c>
    </row>
    <row r="9" spans="1:3" x14ac:dyDescent="0.2">
      <c r="A9" t="s">
        <v>1154</v>
      </c>
      <c r="B9" t="s">
        <v>860</v>
      </c>
      <c r="C9">
        <f t="shared" si="0"/>
        <v>0</v>
      </c>
    </row>
    <row r="10" spans="1:3" x14ac:dyDescent="0.2">
      <c r="A10" t="s">
        <v>1154</v>
      </c>
      <c r="B10" t="s">
        <v>575</v>
      </c>
      <c r="C10">
        <f t="shared" si="0"/>
        <v>0</v>
      </c>
    </row>
    <row r="11" spans="1:3" x14ac:dyDescent="0.2">
      <c r="A11" t="s">
        <v>1154</v>
      </c>
      <c r="B11" t="s">
        <v>576</v>
      </c>
      <c r="C11">
        <f t="shared" si="0"/>
        <v>0</v>
      </c>
    </row>
    <row r="12" spans="1:3" x14ac:dyDescent="0.2">
      <c r="A12" t="s">
        <v>1154</v>
      </c>
      <c r="B12" t="s">
        <v>564</v>
      </c>
      <c r="C12">
        <f t="shared" si="0"/>
        <v>0</v>
      </c>
    </row>
    <row r="13" spans="1:3" s="20" customFormat="1" x14ac:dyDescent="0.2">
      <c r="A13" s="20" t="s">
        <v>1153</v>
      </c>
      <c r="B13" s="20" t="s">
        <v>551</v>
      </c>
      <c r="C13" s="20">
        <f t="shared" si="0"/>
        <v>1</v>
      </c>
    </row>
    <row r="14" spans="1:3" x14ac:dyDescent="0.2">
      <c r="A14" t="s">
        <v>1153</v>
      </c>
      <c r="B14" t="s">
        <v>574</v>
      </c>
      <c r="C14">
        <f t="shared" si="0"/>
        <v>0</v>
      </c>
    </row>
    <row r="15" spans="1:3" x14ac:dyDescent="0.2">
      <c r="A15" t="s">
        <v>1153</v>
      </c>
      <c r="B15" t="s">
        <v>681</v>
      </c>
      <c r="C15">
        <f t="shared" si="0"/>
        <v>0</v>
      </c>
    </row>
    <row r="16" spans="1:3" x14ac:dyDescent="0.2">
      <c r="A16" t="s">
        <v>1153</v>
      </c>
      <c r="B16" t="s">
        <v>656</v>
      </c>
      <c r="C16">
        <f t="shared" si="0"/>
        <v>0</v>
      </c>
    </row>
    <row r="17" spans="1:3" x14ac:dyDescent="0.2">
      <c r="A17" t="s">
        <v>1153</v>
      </c>
      <c r="B17" t="s">
        <v>554</v>
      </c>
      <c r="C17">
        <f t="shared" si="0"/>
        <v>0</v>
      </c>
    </row>
    <row r="18" spans="1:3" x14ac:dyDescent="0.2">
      <c r="A18" t="s">
        <v>1153</v>
      </c>
      <c r="B18" t="s">
        <v>644</v>
      </c>
      <c r="C18">
        <f t="shared" si="0"/>
        <v>0</v>
      </c>
    </row>
    <row r="19" spans="1:3" x14ac:dyDescent="0.2">
      <c r="A19" t="s">
        <v>1153</v>
      </c>
      <c r="B19" t="s">
        <v>559</v>
      </c>
      <c r="C19">
        <f t="shared" si="0"/>
        <v>0</v>
      </c>
    </row>
    <row r="20" spans="1:3" x14ac:dyDescent="0.2">
      <c r="A20" t="s">
        <v>1153</v>
      </c>
      <c r="B20" t="s">
        <v>599</v>
      </c>
      <c r="C20">
        <f t="shared" si="0"/>
        <v>0</v>
      </c>
    </row>
    <row r="21" spans="1:3" x14ac:dyDescent="0.2">
      <c r="A21" t="s">
        <v>1153</v>
      </c>
      <c r="B21" t="s">
        <v>573</v>
      </c>
      <c r="C21">
        <f t="shared" si="0"/>
        <v>0</v>
      </c>
    </row>
    <row r="22" spans="1:3" x14ac:dyDescent="0.2">
      <c r="A22" t="s">
        <v>1153</v>
      </c>
      <c r="B22" t="s">
        <v>864</v>
      </c>
      <c r="C22">
        <f t="shared" si="0"/>
        <v>0</v>
      </c>
    </row>
    <row r="23" spans="1:3" x14ac:dyDescent="0.2">
      <c r="A23" t="s">
        <v>1153</v>
      </c>
      <c r="B23" t="s">
        <v>709</v>
      </c>
      <c r="C23">
        <f t="shared" si="0"/>
        <v>0</v>
      </c>
    </row>
    <row r="24" spans="1:3" s="20" customFormat="1" x14ac:dyDescent="0.2">
      <c r="A24" s="20" t="s">
        <v>1151</v>
      </c>
      <c r="B24" s="20" t="s">
        <v>556</v>
      </c>
      <c r="C24" s="20">
        <f t="shared" si="0"/>
        <v>1</v>
      </c>
    </row>
    <row r="25" spans="1:3" x14ac:dyDescent="0.2">
      <c r="A25" s="2" t="s">
        <v>1151</v>
      </c>
      <c r="B25" t="s">
        <v>560</v>
      </c>
      <c r="C25">
        <f t="shared" si="0"/>
        <v>0</v>
      </c>
    </row>
    <row r="26" spans="1:3" x14ac:dyDescent="0.2">
      <c r="A26" s="2" t="s">
        <v>1151</v>
      </c>
      <c r="B26" t="s">
        <v>746</v>
      </c>
      <c r="C26">
        <f t="shared" si="0"/>
        <v>0</v>
      </c>
    </row>
    <row r="27" spans="1:3" x14ac:dyDescent="0.2">
      <c r="A27" s="2" t="s">
        <v>1151</v>
      </c>
      <c r="B27" t="s">
        <v>631</v>
      </c>
      <c r="C27">
        <f t="shared" si="0"/>
        <v>0</v>
      </c>
    </row>
    <row r="28" spans="1:3" x14ac:dyDescent="0.2">
      <c r="A28" s="2" t="s">
        <v>1151</v>
      </c>
      <c r="B28" t="s">
        <v>1169</v>
      </c>
      <c r="C28">
        <f t="shared" si="0"/>
        <v>0</v>
      </c>
    </row>
    <row r="29" spans="1:3" s="20" customFormat="1" x14ac:dyDescent="0.2">
      <c r="A29" s="20" t="s">
        <v>1150</v>
      </c>
      <c r="B29" s="20" t="s">
        <v>556</v>
      </c>
      <c r="C29" s="20">
        <f t="shared" si="0"/>
        <v>1</v>
      </c>
    </row>
    <row r="30" spans="1:3" x14ac:dyDescent="0.2">
      <c r="A30" s="2" t="s">
        <v>1150</v>
      </c>
      <c r="B30" t="s">
        <v>721</v>
      </c>
      <c r="C30">
        <f t="shared" si="0"/>
        <v>0</v>
      </c>
    </row>
    <row r="31" spans="1:3" x14ac:dyDescent="0.2">
      <c r="A31" s="2" t="s">
        <v>1150</v>
      </c>
      <c r="B31" t="s">
        <v>579</v>
      </c>
      <c r="C31">
        <f t="shared" si="0"/>
        <v>0</v>
      </c>
    </row>
    <row r="32" spans="1:3" x14ac:dyDescent="0.2">
      <c r="A32" s="2" t="s">
        <v>1150</v>
      </c>
      <c r="B32" t="s">
        <v>1099</v>
      </c>
      <c r="C32">
        <f t="shared" si="0"/>
        <v>0</v>
      </c>
    </row>
    <row r="33" spans="1:3" x14ac:dyDescent="0.2">
      <c r="A33" s="2" t="s">
        <v>1150</v>
      </c>
      <c r="B33" t="s">
        <v>581</v>
      </c>
      <c r="C33">
        <f t="shared" si="0"/>
        <v>0</v>
      </c>
    </row>
    <row r="34" spans="1:3" x14ac:dyDescent="0.2">
      <c r="A34" s="2" t="s">
        <v>1150</v>
      </c>
      <c r="B34" t="s">
        <v>669</v>
      </c>
      <c r="C34">
        <f t="shared" si="0"/>
        <v>0</v>
      </c>
    </row>
    <row r="35" spans="1:3" x14ac:dyDescent="0.2">
      <c r="A35" s="2" t="s">
        <v>1150</v>
      </c>
      <c r="B35" t="s">
        <v>739</v>
      </c>
      <c r="C35">
        <f t="shared" si="0"/>
        <v>0</v>
      </c>
    </row>
    <row r="36" spans="1:3" x14ac:dyDescent="0.2">
      <c r="A36" s="2" t="s">
        <v>1150</v>
      </c>
      <c r="B36" t="s">
        <v>582</v>
      </c>
      <c r="C36">
        <f t="shared" si="0"/>
        <v>0</v>
      </c>
    </row>
    <row r="37" spans="1:3" x14ac:dyDescent="0.2">
      <c r="A37" s="2" t="s">
        <v>1150</v>
      </c>
      <c r="B37" t="s">
        <v>727</v>
      </c>
      <c r="C37">
        <f t="shared" si="0"/>
        <v>0</v>
      </c>
    </row>
    <row r="38" spans="1:3" x14ac:dyDescent="0.2">
      <c r="A38" s="2" t="s">
        <v>1150</v>
      </c>
      <c r="B38" t="s">
        <v>580</v>
      </c>
      <c r="C38">
        <f t="shared" si="0"/>
        <v>0</v>
      </c>
    </row>
    <row r="39" spans="1:3" x14ac:dyDescent="0.2">
      <c r="A39" s="2" t="s">
        <v>1150</v>
      </c>
      <c r="B39" t="s">
        <v>707</v>
      </c>
      <c r="C39">
        <f t="shared" si="0"/>
        <v>0</v>
      </c>
    </row>
    <row r="40" spans="1:3" x14ac:dyDescent="0.2">
      <c r="A40" s="2" t="s">
        <v>1150</v>
      </c>
      <c r="B40" t="s">
        <v>598</v>
      </c>
      <c r="C40">
        <f t="shared" si="0"/>
        <v>0</v>
      </c>
    </row>
    <row r="41" spans="1:3" x14ac:dyDescent="0.2">
      <c r="A41" s="2" t="s">
        <v>1150</v>
      </c>
      <c r="B41" t="s">
        <v>896</v>
      </c>
      <c r="C41">
        <f t="shared" si="0"/>
        <v>0</v>
      </c>
    </row>
    <row r="42" spans="1:3" x14ac:dyDescent="0.2">
      <c r="A42" s="2" t="s">
        <v>1150</v>
      </c>
      <c r="B42" t="s">
        <v>637</v>
      </c>
      <c r="C42">
        <f t="shared" si="0"/>
        <v>0</v>
      </c>
    </row>
    <row r="43" spans="1:3" x14ac:dyDescent="0.2">
      <c r="A43" s="2" t="s">
        <v>1150</v>
      </c>
      <c r="B43" t="s">
        <v>720</v>
      </c>
      <c r="C43">
        <f t="shared" si="0"/>
        <v>0</v>
      </c>
    </row>
    <row r="44" spans="1:3" x14ac:dyDescent="0.2">
      <c r="A44" s="2" t="s">
        <v>1150</v>
      </c>
      <c r="B44" t="s">
        <v>572</v>
      </c>
      <c r="C44">
        <f t="shared" si="0"/>
        <v>0</v>
      </c>
    </row>
    <row r="45" spans="1:3" x14ac:dyDescent="0.2">
      <c r="A45" s="2" t="s">
        <v>1150</v>
      </c>
      <c r="B45" t="s">
        <v>717</v>
      </c>
      <c r="C45">
        <f t="shared" si="0"/>
        <v>0</v>
      </c>
    </row>
    <row r="46" spans="1:3" s="20" customFormat="1" x14ac:dyDescent="0.2">
      <c r="A46" s="20" t="s">
        <v>1152</v>
      </c>
      <c r="B46" s="20" t="s">
        <v>556</v>
      </c>
      <c r="C46" s="20">
        <f t="shared" si="0"/>
        <v>1</v>
      </c>
    </row>
    <row r="47" spans="1:3" x14ac:dyDescent="0.2">
      <c r="A47" s="2" t="s">
        <v>1152</v>
      </c>
      <c r="B47" t="s">
        <v>652</v>
      </c>
      <c r="C47">
        <f t="shared" si="0"/>
        <v>0</v>
      </c>
    </row>
    <row r="48" spans="1:3" x14ac:dyDescent="0.2">
      <c r="A48" s="2" t="s">
        <v>1152</v>
      </c>
      <c r="B48" t="s">
        <v>878</v>
      </c>
      <c r="C48">
        <f t="shared" si="0"/>
        <v>0</v>
      </c>
    </row>
    <row r="49" spans="1:3" x14ac:dyDescent="0.2">
      <c r="A49" s="2" t="s">
        <v>1152</v>
      </c>
      <c r="B49" t="s">
        <v>560</v>
      </c>
      <c r="C49">
        <f t="shared" si="0"/>
        <v>0</v>
      </c>
    </row>
    <row r="50" spans="1:3" x14ac:dyDescent="0.2">
      <c r="A50" s="2" t="s">
        <v>1152</v>
      </c>
      <c r="B50" t="s">
        <v>633</v>
      </c>
      <c r="C50">
        <f t="shared" si="0"/>
        <v>0</v>
      </c>
    </row>
    <row r="51" spans="1:3" x14ac:dyDescent="0.2">
      <c r="A51" s="2" t="s">
        <v>1152</v>
      </c>
      <c r="B51" t="s">
        <v>719</v>
      </c>
      <c r="C51">
        <f t="shared" si="0"/>
        <v>0</v>
      </c>
    </row>
    <row r="52" spans="1:3" x14ac:dyDescent="0.2">
      <c r="A52" s="2" t="s">
        <v>1152</v>
      </c>
      <c r="B52" t="s">
        <v>682</v>
      </c>
      <c r="C52">
        <f t="shared" si="0"/>
        <v>0</v>
      </c>
    </row>
    <row r="53" spans="1:3" x14ac:dyDescent="0.2">
      <c r="A53" s="2" t="s">
        <v>1152</v>
      </c>
      <c r="B53" t="s">
        <v>700</v>
      </c>
      <c r="C53">
        <f t="shared" si="0"/>
        <v>0</v>
      </c>
    </row>
    <row r="54" spans="1:3" x14ac:dyDescent="0.2">
      <c r="A54" s="2" t="s">
        <v>1152</v>
      </c>
      <c r="B54" t="s">
        <v>751</v>
      </c>
      <c r="C54">
        <f t="shared" si="0"/>
        <v>0</v>
      </c>
    </row>
    <row r="55" spans="1:3" x14ac:dyDescent="0.2">
      <c r="A55" s="2" t="s">
        <v>1152</v>
      </c>
      <c r="B55" t="s">
        <v>689</v>
      </c>
      <c r="C55">
        <f t="shared" si="0"/>
        <v>0</v>
      </c>
    </row>
    <row r="56" spans="1:3" x14ac:dyDescent="0.2">
      <c r="A56" s="2" t="s">
        <v>1152</v>
      </c>
      <c r="B56" t="s">
        <v>692</v>
      </c>
      <c r="C56">
        <f t="shared" si="0"/>
        <v>0</v>
      </c>
    </row>
    <row r="57" spans="1:3" x14ac:dyDescent="0.2">
      <c r="A57" s="2" t="s">
        <v>1152</v>
      </c>
      <c r="B57" t="s">
        <v>594</v>
      </c>
      <c r="C57">
        <f t="shared" si="0"/>
        <v>0</v>
      </c>
    </row>
    <row r="58" spans="1:3" x14ac:dyDescent="0.2">
      <c r="A58" s="2" t="s">
        <v>1152</v>
      </c>
      <c r="B58" t="s">
        <v>636</v>
      </c>
      <c r="C58">
        <f t="shared" si="0"/>
        <v>0</v>
      </c>
    </row>
    <row r="59" spans="1:3" x14ac:dyDescent="0.2">
      <c r="A59" s="2" t="s">
        <v>1152</v>
      </c>
      <c r="B59" t="s">
        <v>704</v>
      </c>
      <c r="C59">
        <f t="shared" si="0"/>
        <v>0</v>
      </c>
    </row>
    <row r="60" spans="1:3" x14ac:dyDescent="0.2">
      <c r="A60" s="2" t="s">
        <v>1152</v>
      </c>
      <c r="B60" t="s">
        <v>884</v>
      </c>
      <c r="C60">
        <f t="shared" si="0"/>
        <v>0</v>
      </c>
    </row>
    <row r="61" spans="1:3" s="20" customFormat="1" x14ac:dyDescent="0.2">
      <c r="A61" s="20" t="s">
        <v>1149</v>
      </c>
      <c r="B61" s="20" t="s">
        <v>551</v>
      </c>
      <c r="C61" s="20">
        <f t="shared" si="0"/>
        <v>1</v>
      </c>
    </row>
    <row r="62" spans="1:3" x14ac:dyDescent="0.2">
      <c r="A62" s="2" t="s">
        <v>1149</v>
      </c>
      <c r="B62" t="s">
        <v>578</v>
      </c>
      <c r="C62">
        <f t="shared" si="0"/>
        <v>0</v>
      </c>
    </row>
    <row r="63" spans="1:3" x14ac:dyDescent="0.2">
      <c r="A63" s="2" t="s">
        <v>1149</v>
      </c>
      <c r="B63" t="s">
        <v>561</v>
      </c>
      <c r="C63">
        <f t="shared" si="0"/>
        <v>0</v>
      </c>
    </row>
    <row r="64" spans="1:3" x14ac:dyDescent="0.2">
      <c r="A64" s="2" t="s">
        <v>1149</v>
      </c>
      <c r="B64" t="s">
        <v>567</v>
      </c>
      <c r="C64">
        <f t="shared" si="0"/>
        <v>0</v>
      </c>
    </row>
    <row r="65" spans="1:3" s="20" customFormat="1" x14ac:dyDescent="0.2">
      <c r="A65" s="20" t="s">
        <v>1174</v>
      </c>
      <c r="B65" s="20" t="s">
        <v>556</v>
      </c>
      <c r="C65" s="20">
        <f t="shared" si="0"/>
        <v>1</v>
      </c>
    </row>
    <row r="66" spans="1:3" x14ac:dyDescent="0.2">
      <c r="A66" s="2" t="s">
        <v>1174</v>
      </c>
      <c r="B66" t="s">
        <v>857</v>
      </c>
      <c r="C66">
        <f t="shared" si="0"/>
        <v>0</v>
      </c>
    </row>
    <row r="67" spans="1:3" x14ac:dyDescent="0.2">
      <c r="A67" s="2" t="s">
        <v>1174</v>
      </c>
      <c r="B67" t="s">
        <v>681</v>
      </c>
      <c r="C67">
        <f t="shared" ref="C67:C118" si="1">INT(NOT(A67=A66))</f>
        <v>0</v>
      </c>
    </row>
    <row r="68" spans="1:3" x14ac:dyDescent="0.2">
      <c r="A68" s="2" t="s">
        <v>1174</v>
      </c>
      <c r="B68" t="s">
        <v>599</v>
      </c>
      <c r="C68">
        <f t="shared" si="1"/>
        <v>0</v>
      </c>
    </row>
    <row r="69" spans="1:3" s="20" customFormat="1" x14ac:dyDescent="0.2">
      <c r="A69" s="20" t="s">
        <v>1148</v>
      </c>
      <c r="B69" s="20" t="s">
        <v>556</v>
      </c>
      <c r="C69" s="20">
        <f t="shared" si="1"/>
        <v>1</v>
      </c>
    </row>
    <row r="70" spans="1:3" x14ac:dyDescent="0.2">
      <c r="A70" s="2" t="s">
        <v>1148</v>
      </c>
      <c r="B70" t="s">
        <v>933</v>
      </c>
      <c r="C70">
        <f t="shared" si="1"/>
        <v>0</v>
      </c>
    </row>
    <row r="71" spans="1:3" x14ac:dyDescent="0.2">
      <c r="A71" s="2" t="s">
        <v>1148</v>
      </c>
      <c r="B71" t="s">
        <v>552</v>
      </c>
      <c r="C71">
        <f t="shared" si="1"/>
        <v>0</v>
      </c>
    </row>
    <row r="72" spans="1:3" x14ac:dyDescent="0.2">
      <c r="A72" s="2" t="s">
        <v>1148</v>
      </c>
      <c r="B72" t="s">
        <v>583</v>
      </c>
      <c r="C72">
        <f t="shared" si="1"/>
        <v>0</v>
      </c>
    </row>
    <row r="73" spans="1:3" x14ac:dyDescent="0.2">
      <c r="A73" s="2" t="s">
        <v>1148</v>
      </c>
      <c r="B73" t="s">
        <v>871</v>
      </c>
      <c r="C73">
        <f t="shared" si="1"/>
        <v>0</v>
      </c>
    </row>
    <row r="74" spans="1:3" x14ac:dyDescent="0.2">
      <c r="A74" s="2" t="s">
        <v>1148</v>
      </c>
      <c r="B74" t="s">
        <v>563</v>
      </c>
      <c r="C74">
        <f t="shared" si="1"/>
        <v>0</v>
      </c>
    </row>
    <row r="75" spans="1:3" x14ac:dyDescent="0.2">
      <c r="A75" s="2" t="s">
        <v>1148</v>
      </c>
      <c r="B75" t="s">
        <v>630</v>
      </c>
      <c r="C75">
        <f t="shared" si="1"/>
        <v>0</v>
      </c>
    </row>
    <row r="76" spans="1:3" x14ac:dyDescent="0.2">
      <c r="A76" s="2" t="s">
        <v>1148</v>
      </c>
      <c r="B76" t="s">
        <v>711</v>
      </c>
      <c r="C76">
        <f t="shared" si="1"/>
        <v>0</v>
      </c>
    </row>
    <row r="77" spans="1:3" x14ac:dyDescent="0.2">
      <c r="A77" s="2" t="s">
        <v>1148</v>
      </c>
      <c r="B77" t="s">
        <v>745</v>
      </c>
      <c r="C77">
        <f t="shared" si="1"/>
        <v>0</v>
      </c>
    </row>
    <row r="78" spans="1:3" x14ac:dyDescent="0.2">
      <c r="A78" s="2" t="s">
        <v>1148</v>
      </c>
      <c r="B78" t="s">
        <v>673</v>
      </c>
      <c r="C78">
        <f t="shared" si="1"/>
        <v>0</v>
      </c>
    </row>
    <row r="79" spans="1:3" x14ac:dyDescent="0.2">
      <c r="A79" s="2" t="s">
        <v>1148</v>
      </c>
      <c r="B79" t="s">
        <v>595</v>
      </c>
      <c r="C79">
        <f t="shared" si="1"/>
        <v>0</v>
      </c>
    </row>
    <row r="80" spans="1:3" x14ac:dyDescent="0.2">
      <c r="A80" s="2" t="s">
        <v>1148</v>
      </c>
      <c r="B80" t="s">
        <v>577</v>
      </c>
      <c r="C80">
        <f t="shared" si="1"/>
        <v>0</v>
      </c>
    </row>
    <row r="81" spans="1:3" x14ac:dyDescent="0.2">
      <c r="A81" s="2" t="s">
        <v>1148</v>
      </c>
      <c r="B81" t="s">
        <v>556</v>
      </c>
      <c r="C81">
        <f t="shared" si="1"/>
        <v>0</v>
      </c>
    </row>
    <row r="82" spans="1:3" s="20" customFormat="1" x14ac:dyDescent="0.2">
      <c r="A82" s="20" t="s">
        <v>1147</v>
      </c>
      <c r="B82" s="20" t="s">
        <v>648</v>
      </c>
      <c r="C82" s="20">
        <f t="shared" si="1"/>
        <v>1</v>
      </c>
    </row>
    <row r="83" spans="1:3" x14ac:dyDescent="0.2">
      <c r="A83" s="2" t="s">
        <v>1147</v>
      </c>
      <c r="B83" t="s">
        <v>726</v>
      </c>
      <c r="C83">
        <f t="shared" si="1"/>
        <v>0</v>
      </c>
    </row>
    <row r="84" spans="1:3" s="20" customFormat="1" x14ac:dyDescent="0.2">
      <c r="A84" s="20" t="s">
        <v>1145</v>
      </c>
      <c r="B84" s="20" t="s">
        <v>556</v>
      </c>
      <c r="C84" s="20">
        <f t="shared" si="1"/>
        <v>1</v>
      </c>
    </row>
    <row r="85" spans="1:3" x14ac:dyDescent="0.2">
      <c r="A85" t="s">
        <v>1145</v>
      </c>
      <c r="B85" t="s">
        <v>743</v>
      </c>
      <c r="C85">
        <f t="shared" si="1"/>
        <v>0</v>
      </c>
    </row>
    <row r="86" spans="1:3" x14ac:dyDescent="0.2">
      <c r="A86" t="s">
        <v>1145</v>
      </c>
      <c r="B86" t="s">
        <v>723</v>
      </c>
      <c r="C86">
        <f t="shared" si="1"/>
        <v>0</v>
      </c>
    </row>
    <row r="87" spans="1:3" s="20" customFormat="1" x14ac:dyDescent="0.2">
      <c r="A87" s="20" t="s">
        <v>1144</v>
      </c>
      <c r="B87" s="20" t="s">
        <v>556</v>
      </c>
      <c r="C87" s="20">
        <f t="shared" si="1"/>
        <v>1</v>
      </c>
    </row>
    <row r="88" spans="1:3" x14ac:dyDescent="0.2">
      <c r="A88" t="s">
        <v>1144</v>
      </c>
      <c r="B88" t="s">
        <v>681</v>
      </c>
      <c r="C88">
        <f t="shared" si="1"/>
        <v>0</v>
      </c>
    </row>
    <row r="89" spans="1:3" x14ac:dyDescent="0.2">
      <c r="A89" t="s">
        <v>1144</v>
      </c>
      <c r="B89" t="s">
        <v>593</v>
      </c>
      <c r="C89">
        <f t="shared" si="1"/>
        <v>0</v>
      </c>
    </row>
    <row r="90" spans="1:3" x14ac:dyDescent="0.2">
      <c r="A90" t="s">
        <v>1144</v>
      </c>
      <c r="B90" t="s">
        <v>555</v>
      </c>
      <c r="C90">
        <f t="shared" si="1"/>
        <v>0</v>
      </c>
    </row>
    <row r="91" spans="1:3" x14ac:dyDescent="0.2">
      <c r="A91" t="s">
        <v>1144</v>
      </c>
      <c r="B91" t="s">
        <v>569</v>
      </c>
      <c r="C91">
        <f t="shared" si="1"/>
        <v>0</v>
      </c>
    </row>
    <row r="92" spans="1:3" x14ac:dyDescent="0.2">
      <c r="A92" t="s">
        <v>1144</v>
      </c>
      <c r="B92" t="s">
        <v>599</v>
      </c>
      <c r="C92">
        <f t="shared" si="1"/>
        <v>0</v>
      </c>
    </row>
    <row r="93" spans="1:3" x14ac:dyDescent="0.2">
      <c r="A93" t="s">
        <v>1144</v>
      </c>
      <c r="B93" t="s">
        <v>864</v>
      </c>
      <c r="C93">
        <f t="shared" si="1"/>
        <v>0</v>
      </c>
    </row>
    <row r="94" spans="1:3" x14ac:dyDescent="0.2">
      <c r="A94" t="s">
        <v>1144</v>
      </c>
      <c r="B94" t="s">
        <v>709</v>
      </c>
      <c r="C94">
        <f t="shared" si="1"/>
        <v>0</v>
      </c>
    </row>
    <row r="95" spans="1:3" x14ac:dyDescent="0.2">
      <c r="A95" t="s">
        <v>1144</v>
      </c>
      <c r="B95" t="s">
        <v>566</v>
      </c>
      <c r="C95">
        <f t="shared" si="1"/>
        <v>0</v>
      </c>
    </row>
    <row r="96" spans="1:3" s="20" customFormat="1" x14ac:dyDescent="0.2">
      <c r="A96" s="20" t="s">
        <v>1146</v>
      </c>
      <c r="B96" s="20" t="s">
        <v>556</v>
      </c>
      <c r="C96" s="20">
        <f t="shared" si="1"/>
        <v>1</v>
      </c>
    </row>
    <row r="97" spans="1:3" x14ac:dyDescent="0.2">
      <c r="A97" s="2" t="s">
        <v>1146</v>
      </c>
      <c r="B97" t="s">
        <v>557</v>
      </c>
      <c r="C97">
        <f t="shared" si="1"/>
        <v>0</v>
      </c>
    </row>
    <row r="98" spans="1:3" x14ac:dyDescent="0.2">
      <c r="A98" s="2" t="s">
        <v>1146</v>
      </c>
      <c r="B98" t="s">
        <v>602</v>
      </c>
      <c r="C98">
        <f t="shared" si="1"/>
        <v>0</v>
      </c>
    </row>
    <row r="99" spans="1:3" x14ac:dyDescent="0.2">
      <c r="A99" s="2" t="s">
        <v>1146</v>
      </c>
      <c r="B99" t="s">
        <v>658</v>
      </c>
      <c r="C99">
        <f t="shared" si="1"/>
        <v>0</v>
      </c>
    </row>
    <row r="100" spans="1:3" x14ac:dyDescent="0.2">
      <c r="A100" s="2" t="s">
        <v>1146</v>
      </c>
      <c r="B100" t="s">
        <v>570</v>
      </c>
      <c r="C100">
        <f t="shared" si="1"/>
        <v>0</v>
      </c>
    </row>
    <row r="101" spans="1:3" x14ac:dyDescent="0.2">
      <c r="A101" s="2" t="s">
        <v>1146</v>
      </c>
      <c r="B101" t="s">
        <v>657</v>
      </c>
      <c r="C101">
        <f t="shared" si="1"/>
        <v>0</v>
      </c>
    </row>
    <row r="102" spans="1:3" x14ac:dyDescent="0.2">
      <c r="A102" s="2" t="s">
        <v>1146</v>
      </c>
      <c r="B102" t="s">
        <v>681</v>
      </c>
      <c r="C102">
        <f t="shared" si="1"/>
        <v>0</v>
      </c>
    </row>
    <row r="103" spans="1:3" x14ac:dyDescent="0.2">
      <c r="A103" s="2" t="s">
        <v>1146</v>
      </c>
      <c r="B103" t="s">
        <v>646</v>
      </c>
      <c r="C103">
        <f t="shared" si="1"/>
        <v>0</v>
      </c>
    </row>
    <row r="104" spans="1:3" x14ac:dyDescent="0.2">
      <c r="A104" s="2" t="s">
        <v>1146</v>
      </c>
      <c r="B104" t="s">
        <v>708</v>
      </c>
      <c r="C104">
        <f t="shared" si="1"/>
        <v>0</v>
      </c>
    </row>
    <row r="105" spans="1:3" x14ac:dyDescent="0.2">
      <c r="A105" s="2" t="s">
        <v>1146</v>
      </c>
      <c r="B105" t="s">
        <v>584</v>
      </c>
      <c r="C105">
        <f t="shared" si="1"/>
        <v>0</v>
      </c>
    </row>
    <row r="106" spans="1:3" x14ac:dyDescent="0.2">
      <c r="A106" s="2" t="s">
        <v>1146</v>
      </c>
      <c r="B106" t="s">
        <v>599</v>
      </c>
      <c r="C106">
        <f t="shared" si="1"/>
        <v>0</v>
      </c>
    </row>
    <row r="107" spans="1:3" x14ac:dyDescent="0.2">
      <c r="A107" s="2" t="s">
        <v>1146</v>
      </c>
      <c r="B107" t="s">
        <v>864</v>
      </c>
      <c r="C107">
        <f t="shared" si="1"/>
        <v>0</v>
      </c>
    </row>
    <row r="108" spans="1:3" x14ac:dyDescent="0.2">
      <c r="A108" s="2" t="s">
        <v>1146</v>
      </c>
      <c r="B108" t="s">
        <v>592</v>
      </c>
      <c r="C108">
        <f t="shared" si="1"/>
        <v>0</v>
      </c>
    </row>
    <row r="109" spans="1:3" s="20" customFormat="1" x14ac:dyDescent="0.2">
      <c r="A109" s="20" t="s">
        <v>1143</v>
      </c>
      <c r="B109" s="20" t="s">
        <v>556</v>
      </c>
      <c r="C109" s="20">
        <f t="shared" si="1"/>
        <v>1</v>
      </c>
    </row>
    <row r="110" spans="1:3" x14ac:dyDescent="0.2">
      <c r="A110" t="s">
        <v>1143</v>
      </c>
      <c r="B110" t="s">
        <v>728</v>
      </c>
      <c r="C110">
        <f t="shared" si="1"/>
        <v>0</v>
      </c>
    </row>
    <row r="111" spans="1:3" x14ac:dyDescent="0.2">
      <c r="A111" t="s">
        <v>1143</v>
      </c>
      <c r="B111" t="s">
        <v>716</v>
      </c>
      <c r="C111">
        <f t="shared" si="1"/>
        <v>0</v>
      </c>
    </row>
    <row r="112" spans="1:3" x14ac:dyDescent="0.2">
      <c r="A112" t="s">
        <v>1143</v>
      </c>
      <c r="B112" t="s">
        <v>673</v>
      </c>
      <c r="C112">
        <f t="shared" si="1"/>
        <v>0</v>
      </c>
    </row>
    <row r="113" spans="1:3" x14ac:dyDescent="0.2">
      <c r="A113" t="s">
        <v>1143</v>
      </c>
      <c r="B113" t="s">
        <v>595</v>
      </c>
      <c r="C113">
        <f t="shared" si="1"/>
        <v>0</v>
      </c>
    </row>
    <row r="114" spans="1:3" x14ac:dyDescent="0.2">
      <c r="A114" t="s">
        <v>1143</v>
      </c>
      <c r="B114" t="s">
        <v>565</v>
      </c>
      <c r="C114">
        <f t="shared" si="1"/>
        <v>0</v>
      </c>
    </row>
    <row r="115" spans="1:3" x14ac:dyDescent="0.2">
      <c r="A115" t="s">
        <v>1143</v>
      </c>
      <c r="B115" t="s">
        <v>637</v>
      </c>
      <c r="C115">
        <f t="shared" si="1"/>
        <v>0</v>
      </c>
    </row>
    <row r="116" spans="1:3" x14ac:dyDescent="0.2">
      <c r="A116" t="s">
        <v>1143</v>
      </c>
      <c r="B116" t="s">
        <v>748</v>
      </c>
      <c r="C116">
        <f t="shared" si="1"/>
        <v>0</v>
      </c>
    </row>
    <row r="117" spans="1:3" x14ac:dyDescent="0.2">
      <c r="A117" t="s">
        <v>1143</v>
      </c>
      <c r="B117" t="s">
        <v>858</v>
      </c>
      <c r="C117">
        <f t="shared" si="1"/>
        <v>0</v>
      </c>
    </row>
    <row r="118" spans="1:3" x14ac:dyDescent="0.2">
      <c r="A118" t="s">
        <v>1143</v>
      </c>
      <c r="B118" t="s">
        <v>713</v>
      </c>
      <c r="C118">
        <f t="shared" si="1"/>
        <v>0</v>
      </c>
    </row>
  </sheetData>
  <sortState xmlns:xlrd2="http://schemas.microsoft.com/office/spreadsheetml/2017/richdata2" ref="A2:B118">
    <sortCondition ref="A2:A118"/>
    <sortCondition ref="B2:B118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DC9F4C-7A50-7B4A-BD59-26DBE39A522A}">
          <x14:formula1>
            <xm:f>msa_roster!$A:$A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area_region</vt:lpstr>
      <vt:lpstr>area_state</vt:lpstr>
      <vt:lpstr>msa_roster</vt:lpstr>
      <vt:lpstr>msa_visit</vt:lpstr>
      <vt:lpstr>msa_lonlat</vt:lpstr>
      <vt:lpstr>weather_noon</vt:lpstr>
      <vt:lpstr>weather_dusk</vt:lpstr>
      <vt:lpstr>trip_roster</vt:lpstr>
      <vt:lpstr>trip_route</vt:lpstr>
      <vt:lpstr>trip_visit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</dc:creator>
  <cp:lastModifiedBy>Josh M</cp:lastModifiedBy>
  <dcterms:created xsi:type="dcterms:W3CDTF">2025-12-06T16:25:12Z</dcterms:created>
  <dcterms:modified xsi:type="dcterms:W3CDTF">2026-06-21T02:06:03Z</dcterms:modified>
</cp:coreProperties>
</file>